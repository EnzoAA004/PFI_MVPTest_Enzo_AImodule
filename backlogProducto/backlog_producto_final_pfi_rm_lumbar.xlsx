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4c1515db1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36550f42b152471b"/>
    <x:sheet xmlns:r="http://schemas.openxmlformats.org/officeDocument/2006/relationships" name="01_Backlog" sheetId="2" r:id="R7f9bb3b5080e43c2"/>
    <x:sheet xmlns:r="http://schemas.openxmlformats.org/officeDocument/2006/relationships" name="02_Sprints" sheetId="3" r:id="Racb91e7c13c4424b"/>
    <x:sheet xmlns:r="http://schemas.openxmlformats.org/officeDocument/2006/relationships" name="03_Dependencias" sheetId="4" r:id="Rb7940f087bf040f6"/>
    <x:sheet xmlns:r="http://schemas.openxmlformats.org/officeDocument/2006/relationships" name="04_Definition_of_Done" sheetId="5" r:id="R78ee24a4402b4a56"/>
    <x:sheet xmlns:r="http://schemas.openxmlformats.org/officeDocument/2006/relationships" name="05_Decisiones_y_Alcance" sheetId="6" r:id="Ra541f44e8cd24f9d"/>
    <x:sheet xmlns:r="http://schemas.openxmlformats.org/officeDocument/2006/relationships" name="99_Categorias" sheetId="7" r:id="R62804151e6f8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7F1D1D"/>
      </x:font>
      <x:fill>
        <x:patternFill patternType="solid">
          <x:bgColor rgb="FFFECACA"/>
        </x:patternFill>
      </x:fill>
    </x:dxf>
    <x:dxf>
      <x:font>
        <x:b/>
        <x:color rgb="FF7C2D12"/>
      </x:font>
      <x:fill>
        <x:patternFill patternType="solid">
          <x:bgColor rgb="FFFED7AA"/>
        </x:patternFill>
      </x:fill>
    </x:dxf>
    <x:dxf>
      <x:font>
        <x:b/>
        <x:color rgb="FFFFFFFF"/>
      </x:font>
      <x:fill>
        <x:patternFill patternType="solid">
          <x:bgColor rgb="FFF87171"/>
        </x:patternFill>
      </x:fill>
    </x:dxf>
    <x:dxf>
      <x:font>
        <x:b/>
        <x:color rgb="FF14532D"/>
      </x:font>
      <x:fill>
        <x:patternFill patternType="solid">
          <x:bgColor rgb="FFBBF7D0"/>
        </x:patternFill>
      </x:fill>
    </x:dxf>
    <x:dxf>
      <x:font>
        <x:b/>
        <x:color rgb="FF1E3A8A"/>
      </x:font>
      <x:fill>
        <x:patternFill patternType="solid">
          <x:bgColor rgb="FFBFDB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74e019b244bb5" /><Relationship Type="http://schemas.openxmlformats.org/officeDocument/2006/relationships/theme" Target="/xl/theme/theme1.xml" Id="Rc2f05f43850c41b9" /><Relationship Type="http://schemas.openxmlformats.org/officeDocument/2006/relationships/sharedStrings" Target="/xl/sharedStrings.xml" Id="Rfcec7bf95bfa4903" /><Relationship Type="http://schemas.openxmlformats.org/officeDocument/2006/relationships/worksheet" Target="/xl/worksheets/sheet1.xml" Id="R36550f42b152471b" /><Relationship Type="http://schemas.openxmlformats.org/officeDocument/2006/relationships/worksheet" Target="/xl/worksheets/sheet2.xml" Id="R7f9bb3b5080e43c2" /><Relationship Type="http://schemas.openxmlformats.org/officeDocument/2006/relationships/worksheet" Target="/xl/worksheets/sheet3.xml" Id="Racb91e7c13c4424b" /><Relationship Type="http://schemas.openxmlformats.org/officeDocument/2006/relationships/worksheet" Target="/xl/worksheets/sheet4.xml" Id="Rb7940f087bf040f6" /><Relationship Type="http://schemas.openxmlformats.org/officeDocument/2006/relationships/worksheet" Target="/xl/worksheets/sheet5.xml" Id="R78ee24a4402b4a56" /><Relationship Type="http://schemas.openxmlformats.org/officeDocument/2006/relationships/worksheet" Target="/xl/worksheets/sheet6.xml" Id="Ra541f44e8cd24f9d" /><Relationship Type="http://schemas.openxmlformats.org/officeDocument/2006/relationships/worksheet" Target="/xl/worksheets/sheet7.xml" Id="R62804151e6f84743" /></Relationships>
</file>

<file path=xl/tables/table1.xml><?xml version="1.0" encoding="utf-8"?>
<x:table xmlns:x="http://schemas.openxmlformats.org/spreadsheetml/2006/main" id="1" name="BacklogTable" displayName="BacklogTable" ref="A1:M39" headerRowCount="1">
  <x:tableColumns count="13">
    <x:tableColumn id="1" name="ID"/>
    <x:tableColumn id="2" name="Épica"/>
    <x:tableColumn id="3" name="Módulo"/>
    <x:tableColumn id="4" name="Tarea"/>
    <x:tableColumn id="5" name="Descripción"/>
    <x:tableColumn id="6" name="Prioridad"/>
    <x:tableColumn id="7" name="Estado"/>
    <x:tableColumn id="8" name="Dependencias"/>
    <x:tableColumn id="9" name="Entregable"/>
    <x:tableColumn id="10" name="Definition of Done"/>
    <x:tableColumn id="11" name="Estimación días"/>
    <x:tableColumn id="12" name="Responsable"/>
    <x:tableColumn id="13" name="Sprint"/>
  </x:tableColumns>
  <x:tableStyleInfo name="TableStyleMedium2" showRowStripes="1"/>
</x:table>
</file>

<file path=xl/tables/table2.xml><?xml version="1.0" encoding="utf-8"?>
<x:table xmlns:x="http://schemas.openxmlformats.org/spreadsheetml/2006/main" id="2" name="SprintsTable" displayName="SprintsTable" ref="A1:F9" headerRowCount="1">
  <x:tableColumns count="6">
    <x:tableColumn id="1" name="Sprint"/>
    <x:tableColumn id="2" name="Objetivo"/>
    <x:tableColumn id="3" name="Tickets sugeridos"/>
    <x:tableColumn id="4" name="Cierre esperado"/>
    <x:tableColumn id="5" name="Riesgo principal"/>
    <x:tableColumn id="6" name="Entregable demo"/>
  </x:tableColumns>
  <x:tableStyleInfo name="TableStyleMedium2" showRowStripes="1"/>
</x:table>
</file>

<file path=xl/tables/table3.xml><?xml version="1.0" encoding="utf-8"?>
<x:table xmlns:x="http://schemas.openxmlformats.org/spreadsheetml/2006/main" id="3" name="DependenciesTable" displayName="DependenciesTable" ref="A1:D7" headerRowCount="1">
  <x:tableColumns count="4">
    <x:tableColumn id="1" name="Bloque"/>
    <x:tableColumn id="2" name="Depende de"/>
    <x:tableColumn id="3" name="Por qué importa"/>
    <x:tableColumn id="4" name="Bloquea si falta"/>
  </x:tableColumns>
  <x:tableStyleInfo name="TableStyleMedium2" showRowStripes="1"/>
</x:table>
</file>

<file path=xl/tables/table4.xml><?xml version="1.0" encoding="utf-8"?>
<x:table xmlns:x="http://schemas.openxmlformats.org/spreadsheetml/2006/main" id="4" name="DoDTable" displayName="DoDTable" ref="A1:B9" headerRowCount="1">
  <x:tableColumns count="2">
    <x:tableColumn id="1" name="Tipo de tarea"/>
    <x:tableColumn id="2" name="Definition of Done"/>
  </x:tableColumns>
  <x:tableStyleInfo name="TableStyleMedium2" showRowStripes="1"/>
</x:table>
</file>

<file path=xl/tables/table5.xml><?xml version="1.0" encoding="utf-8"?>
<x:table xmlns:x="http://schemas.openxmlformats.org/spreadsheetml/2006/main" id="5" name="DecisionsTable" displayName="DecisionsTable" ref="A1:D8" headerRowCount="1">
  <x:tableColumns count="4">
    <x:tableColumn id="1" name="Tema"/>
    <x:tableColumn id="2" name="Decisión actual"/>
    <x:tableColumn id="3" name="Se mantiene para producto final"/>
    <x:tableColumn id="4" name="Trabajo futuro / no promet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bfcd19a53a4b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7f6ec743134b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6a49681fef4b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e63926a61b4a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b7908c24e94cf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4" max="4" width="8" hidden="0" customWidth="1"/>
    <x:col min="5" max="5" width="24" hidden="0" customWidth="1"/>
    <x:col min="6" max="6" width="18" hidden="0" customWidth="1"/>
    <x:col min="7" max="7" width="36" hidden="0" customWidth="1"/>
    <x:col min="8" max="8" width="10" hidden="0" customWidth="1"/>
  </x:cols>
  <x:sheetData>
    <x:row r="1">
      <x:c r="A1" s="16" t="str">
        <x:v>Backlog producto final - PFI RM lumbar IA</x:v>
      </x:c>
    </x:row>
    <x:row r="3">
      <x:c r="A3" s="11" t="str">
        <x:v>Fecha de checkpoint</x:v>
      </x:c>
      <x:c r="B3" s="11" t="str">
        <x:v>2026-06-30</x:v>
      </x:c>
      <x:c r="D3" s="5" t="str">
        <x:v>Orden recomendado de trabajo</x:v>
      </x:c>
    </x:row>
    <x:row r="4">
      <x:c r="A4" s="11" t="str">
        <x:v>Objetivo</x:v>
      </x:c>
      <x:c r="B4" s="11" t="str">
        <x:v>Convertir el MVP técnico E19 en producto final demostrable</x:v>
      </x:c>
      <x:c r="D4" s="11" t="str">
        <x:v>1</x:v>
      </x:c>
      <x:c r="E4" s="11" t="str">
        <x:v>Congelar datos</x:v>
      </x:c>
      <x:c r="F4" s="11" t="str">
        <x:v>PF-001 a PF-003</x:v>
      </x:c>
      <x:c r="G4" s="11" t="str">
        <x:v>Sin esto, no hay reproducibilidad</x:v>
      </x:c>
      <x:c r="H4" s="11" t="str">
        <x:v>S1</x:v>
      </x:c>
    </x:row>
    <x:row r="5">
      <x:c r="A5" s="11"/>
      <x:c r="B5" s="11"/>
      <x:c r="D5" s="11" t="str">
        <x:v>2</x:v>
      </x:c>
      <x:c r="E5" s="11" t="str">
        <x:v>Modelos finales</x:v>
      </x:c>
      <x:c r="F5" s="11" t="str">
        <x:v>PF-004 a PF-007</x:v>
      </x:c>
      <x:c r="G5" s="11" t="str">
        <x:v>Base para inferencia real</x:v>
      </x:c>
      <x:c r="H5" s="11" t="str">
        <x:v>S2</x:v>
      </x:c>
    </x:row>
    <x:row r="6">
      <x:c r="A6" s="10" t="str">
        <x:v>Métrica</x:v>
      </x:c>
      <x:c r="B6" s="10" t="str">
        <x:v>Valor</x:v>
      </x:c>
      <x:c r="D6" s="11" t="str">
        <x:v>3</x:v>
      </x:c>
      <x:c r="E6" s="11" t="str">
        <x:v>Inferencia productiva</x:v>
      </x:c>
      <x:c r="F6" s="11" t="str">
        <x:v>PF-008 a PF-011</x:v>
      </x:c>
      <x:c r="G6" s="11" t="str">
        <x:v>Sacar IA de notebooks</x:v>
      </x:c>
      <x:c r="H6" s="11" t="str">
        <x:v>S3</x:v>
      </x:c>
    </x:row>
    <x:row r="7">
      <x:c r="A7" s="24" t="str">
        <x:v>Total tickets</x:v>
      </x:c>
      <x:c r="B7" s="11" t="n">
        <x:f>COUNTA('01_Backlog'!A2:A39)</x:f>
        <x:v>38</x:v>
      </x:c>
      <x:c r="D7" s="11" t="str">
        <x:v>4</x:v>
      </x:c>
      <x:c r="E7" s="11" t="str">
        <x:v>Agente + servicio</x:v>
      </x:c>
      <x:c r="F7" s="11" t="str">
        <x:v>PF-012 a PF-018</x:v>
      </x:c>
      <x:c r="G7" s="11" t="str">
        <x:v>Contrato estable IA</x:v>
      </x:c>
      <x:c r="H7" s="11" t="str">
        <x:v>S4-S5</x:v>
      </x:c>
    </x:row>
    <x:row r="8">
      <x:c r="A8" s="24" t="str">
        <x:v>Tickets P0</x:v>
      </x:c>
      <x:c r="B8" s="11" t="n">
        <x:f>COUNTIF('01_Backlog'!F2:F39,"P0 - crítico")</x:f>
        <x:v>21</x:v>
      </x:c>
      <x:c r="D8" s="11" t="str">
        <x:v>5</x:v>
      </x:c>
      <x:c r="E8" s="11" t="str">
        <x:v>Backend real</x:v>
      </x:c>
      <x:c r="F8" s="11" t="str">
        <x:v>PF-020 a PF-025</x:v>
      </x:c>
      <x:c r="G8" s="11" t="str">
        <x:v>Spring Boot consume Python</x:v>
      </x:c>
      <x:c r="H8" s="11" t="str">
        <x:v>S5-S6</x:v>
      </x:c>
    </x:row>
    <x:row r="9">
      <x:c r="A9" s="24" t="str">
        <x:v>Tickets P1</x:v>
      </x:c>
      <x:c r="B9" s="11" t="n">
        <x:f>COUNTIF('01_Backlog'!F2:F39,"P1 - alto")</x:f>
        <x:v>15</x:v>
      </x:c>
      <x:c r="D9" s="11" t="str">
        <x:v>6</x:v>
      </x:c>
      <x:c r="E9" s="11" t="str">
        <x:v>Frontend demo</x:v>
      </x:c>
      <x:c r="F9" s="11" t="str">
        <x:v>PF-026 a PF-030</x:v>
      </x:c>
      <x:c r="G9" s="11" t="str">
        <x:v>Vista presentable y revisable</x:v>
      </x:c>
      <x:c r="H9" s="11" t="str">
        <x:v>S7</x:v>
      </x:c>
    </x:row>
    <x:row r="10">
      <x:c r="A10" s="24" t="str">
        <x:v>Esfuerzo total días</x:v>
      </x:c>
      <x:c r="B10" s="11" t="n">
        <x:f>SUM('01_Backlog'!K2:K39)</x:f>
        <x:v>98</x:v>
      </x:c>
      <x:c r="D10" s="11" t="str">
        <x:v>7</x:v>
      </x:c>
      <x:c r="E10" s="11" t="str">
        <x:v>Validación final</x:v>
      </x:c>
      <x:c r="F10" s="11" t="str">
        <x:v>PF-031 a PF-033</x:v>
      </x:c>
      <x:c r="G10" s="11" t="str">
        <x:v>Demo y feedback profesional</x:v>
      </x:c>
      <x:c r="H10" s="11" t="str">
        <x:v>S8</x:v>
      </x:c>
    </x:row>
    <x:row r="11">
      <x:c r="A11" s="24" t="str">
        <x:v>Sprints sugeridos</x:v>
      </x:c>
      <x:c r="B11" s="11" t="n">
        <x:v>8</x:v>
      </x:c>
      <x:c r="D11" s="11" t="str">
        <x:v>8</x:v>
      </x:c>
      <x:c r="E11" s="11" t="str">
        <x:v>Documentación final</x:v>
      </x:c>
      <x:c r="F11" s="11" t="str">
        <x:v>PF-034 a PF-038</x:v>
      </x:c>
      <x:c r="G11" s="11" t="str">
        <x:v>Tesis refleja producto</x:v>
      </x:c>
      <x:c r="H11" s="11" t="str">
        <x:v>S8</x:v>
      </x:c>
    </x:row>
    <x:row r="12">
      <x:c r="A12" s="24" t="str">
        <x:v>Siguiente foco</x:v>
      </x:c>
      <x:c r="B12" s="11" t="str">
        <x:v>Datos definitivos + modelos finales</x:v>
      </x:c>
    </x:row>
    <x:row r="13">
      <x:c r="A13" s="24" t="str">
        <x:v>Fuente de verdad</x:v>
      </x:c>
      <x:c r="B13" s="11" t="str">
        <x:v>E19 + capítulos 15-19 checkpoint</x:v>
      </x:c>
    </x:row>
    <x:row r="15">
      <x:c r="A15" s="5" t="str">
        <x:v>Estado inicial</x:v>
      </x:c>
      <x:c r="B15" s="5" t="str">
        <x:v>Cantidad</x:v>
      </x:c>
    </x:row>
    <x:row r="16">
      <x:c r="A16" s="21" t="str">
        <x:v>Backlog</x:v>
      </x:c>
      <x:c r="B16" t="n">
        <x:f>COUNTIF('01_Backlog'!G2:G39,"Backlog")</x:f>
        <x:v>38</x:v>
      </x:c>
    </x:row>
    <x:row r="17">
      <x:c r="A17" s="21" t="str">
        <x:v>En desarrollo</x:v>
      </x:c>
      <x:c r="B17" t="n">
        <x:f>COUNTIF('01_Backlog'!G2:G39,"En desarrollo")</x:f>
        <x:v>0</x:v>
      </x:c>
    </x:row>
    <x:row r="18">
      <x:c r="A18" s="21" t="str">
        <x:v>Cerrado</x:v>
      </x:c>
      <x:c r="B18" t="n">
        <x:f>COUNTIF('01_Backlog'!G2:G39,"Cerrado")</x:f>
        <x:v>0</x:v>
      </x:c>
    </x:row>
    <x:row r="19">
      <x:c r="A19" s="21" t="str">
        <x:v>Bloqueado</x:v>
      </x:c>
      <x:c r="B19" t="n">
        <x:f>COUNTIF('01_Backlog'!G2:G39,"Bloqueado")</x:f>
        <x:v>0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30" hidden="0" customWidth="1"/>
    <x:col min="5" max="5" width="42" hidden="0" customWidth="1"/>
    <x:col min="6" max="6" width="14" hidden="0" customWidth="1"/>
    <x:col min="7" max="7" width="16" hidden="0" customWidth="1"/>
    <x:col min="8" max="8" width="24" hidden="0" customWidth="1"/>
    <x:col min="9" max="9" width="30" hidden="0" customWidth="1"/>
    <x:col min="10" max="10" width="42" hidden="0" customWidth="1"/>
    <x:col min="11" max="11" width="12" hidden="0" customWidth="1"/>
    <x:col min="12" max="12" width="14" hidden="0" customWidth="1"/>
    <x:col min="13" max="13" width="10" hidden="0" customWidth="1"/>
  </x:cols>
  <x:sheetData>
    <x:row r="1">
      <x:c r="A1" s="10" t="str">
        <x:v>ID</x:v>
      </x:c>
      <x:c r="B1" s="10" t="str">
        <x:v>Épica</x:v>
      </x:c>
      <x:c r="C1" s="10" t="str">
        <x:v>Módulo</x:v>
      </x:c>
      <x:c r="D1" s="10" t="str">
        <x:v>Tarea</x:v>
      </x:c>
      <x:c r="E1" s="10" t="str">
        <x:v>Descripción</x:v>
      </x:c>
      <x:c r="F1" s="10" t="str">
        <x:v>Prioridad</x:v>
      </x:c>
      <x:c r="G1" s="10" t="str">
        <x:v>Estado</x:v>
      </x:c>
      <x:c r="H1" s="10" t="str">
        <x:v>Dependencias</x:v>
      </x:c>
      <x:c r="I1" s="10" t="str">
        <x:v>Entregable</x:v>
      </x:c>
      <x:c r="J1" s="10" t="str">
        <x:v>Definition of Done</x:v>
      </x:c>
      <x:c r="K1" s="10" t="str">
        <x:v>Estimación días</x:v>
      </x:c>
      <x:c r="L1" s="10" t="str">
        <x:v>Responsable</x:v>
      </x:c>
      <x:c r="M1" s="10" t="str">
        <x:v>Sprint</x:v>
      </x:c>
    </x:row>
    <x:row r="2">
      <x:c r="A2" s="11" t="str">
        <x:v>PF-001</x:v>
      </x:c>
      <x:c r="B2" s="11" t="str">
        <x:v>Datos definitivos</x:v>
      </x:c>
      <x:c r="C2" s="11" t="str">
        <x:v>Datos</x:v>
      </x:c>
      <x:c r="D2" s="11" t="str">
        <x:v>Estandarizar estructura de datos final</x:v>
      </x:c>
      <x:c r="E2" s="11" t="str">
        <x:v>Definir rutas únicas, nombres, splits y convenciones para SPIDER, Al-Kafri/Sudirman y outputs del MVP.</x:v>
      </x:c>
      <x:c r="F2" s="11" t="str">
        <x:v>P0 - crítico</x:v>
      </x:c>
      <x:c r="G2" s="11" t="str">
        <x:v>Backlog</x:v>
      </x:c>
      <x:c r="H2" s="11" t="str">
        <x:v>E10-E19 existentes</x:v>
      </x:c>
      <x:c r="I2" s="11" t="str">
        <x:v>README de datos + config de paths</x:v>
      </x:c>
      <x:c r="J2" s="11" t="str">
        <x:v>Existe una estructura reproducible y versionada; no hay rutas sueltas en notebooks o servicios.</x:v>
      </x:c>
      <x:c r="K2" s="11" t="n">
        <x:v>2</x:v>
      </x:c>
      <x:c r="L2" s="11" t="str">
        <x:v>Ambos</x:v>
      </x:c>
      <x:c r="M2" s="11" t="str">
        <x:v>S1</x:v>
      </x:c>
    </x:row>
    <x:row r="3">
      <x:c r="A3" s="11" t="str">
        <x:v>PF-002</x:v>
      </x:c>
      <x:c r="B3" s="11" t="str">
        <x:v>Datos definitivos</x:v>
      </x:c>
      <x:c r="C3" s="11" t="str">
        <x:v>Datos</x:v>
      </x:c>
      <x:c r="D3" s="11" t="str">
        <x:v>Congelar splits finales</x:v>
      </x:c>
      <x:c r="E3" s="11" t="str">
        <x:v>Guardar CSVs definitivos de train/val/test para sagital y axial, con seed, casos y exclusiones.</x:v>
      </x:c>
      <x:c r="F3" s="11" t="str">
        <x:v>P0 - crítico</x:v>
      </x:c>
      <x:c r="G3" s="11" t="str">
        <x:v>Backlog</x:v>
      </x:c>
      <x:c r="H3" s="11" t="str">
        <x:v>PF-001</x:v>
      </x:c>
      <x:c r="I3" s="11" t="str">
        <x:v>splits_finales/*.csv</x:v>
      </x:c>
      <x:c r="J3" s="11" t="str">
        <x:v>Los splits pueden reconstruirse y están citados en documentación.</x:v>
      </x:c>
      <x:c r="K3" s="11" t="n">
        <x:v>1</x:v>
      </x:c>
      <x:c r="L3" s="11" t="str">
        <x:v>Enzo</x:v>
      </x:c>
      <x:c r="M3" s="11" t="str">
        <x:v>S1</x:v>
      </x:c>
    </x:row>
    <x:row r="4">
      <x:c r="A4" s="11" t="str">
        <x:v>PF-003</x:v>
      </x:c>
      <x:c r="B4" s="11" t="str">
        <x:v>Datos definitivos</x:v>
      </x:c>
      <x:c r="C4" s="11" t="str">
        <x:v>Datos</x:v>
      </x:c>
      <x:c r="D4" s="11" t="str">
        <x:v>Inventario de datasets y licencias</x:v>
      </x:c>
      <x:c r="E4" s="11" t="str">
        <x:v>Documentar origen, licencia, estructura, tamaño y limitaciones de SPIDER y Al-Kafri/Sudirman.</x:v>
      </x:c>
      <x:c r="F4" s="11" t="str">
        <x:v>P1 - alto</x:v>
      </x:c>
      <x:c r="G4" s="11" t="str">
        <x:v>Backlog</x:v>
      </x:c>
      <x:c r="H4" s="11" t="str">
        <x:v>PF-001</x:v>
      </x:c>
      <x:c r="I4" s="11" t="str">
        <x:v>docs/datasets_inventory.md</x:v>
      </x:c>
      <x:c r="J4" s="11" t="str">
        <x:v>Cada dataset tiene licencia, uso en MVP y limitaciones documentadas.</x:v>
      </x:c>
      <x:c r="K4" s="11" t="n">
        <x:v>1</x:v>
      </x:c>
      <x:c r="L4" s="11" t="str">
        <x:v>Francisco</x:v>
      </x:c>
      <x:c r="M4" s="11" t="str">
        <x:v>S1</x:v>
      </x:c>
    </x:row>
    <x:row r="5">
      <x:c r="A5" s="11" t="str">
        <x:v>PF-004</x:v>
      </x:c>
      <x:c r="B5" s="11" t="str">
        <x:v>Entrenamiento definitivo</x:v>
      </x:c>
      <x:c r="C5" s="11" t="str">
        <x:v>Entrenamiento IA</x:v>
      </x:c>
      <x:c r="D5" s="11" t="str">
        <x:v>Reentrenamiento axial final reproducible</x:v>
      </x:c>
      <x:c r="E5" s="11" t="str">
        <x:v>Preparar notebook/script final de entrenamiento axial T2 con configuración limpia, seed y exports estables.</x:v>
      </x:c>
      <x:c r="F5" s="11" t="str">
        <x:v>P0 - crítico</x:v>
      </x:c>
      <x:c r="G5" s="11" t="str">
        <x:v>Backlog</x:v>
      </x:c>
      <x:c r="H5" s="11" t="str">
        <x:v>PF-001, PF-002</x:v>
      </x:c>
      <x:c r="I5" s="11" t="str">
        <x:v>modelo axial final + reporte</x:v>
      </x:c>
      <x:c r="J5" s="11" t="str">
        <x:v>Checkpoint, métricas y reporte se generan desde cero sin pasos manuales ambiguos.</x:v>
      </x:c>
      <x:c r="K5" s="11" t="n">
        <x:v>3</x:v>
      </x:c>
      <x:c r="L5" s="11" t="str">
        <x:v>Enzo</x:v>
      </x:c>
      <x:c r="M5" s="11" t="str">
        <x:v>S2</x:v>
      </x:c>
    </x:row>
    <x:row r="6">
      <x:c r="A6" s="11" t="str">
        <x:v>PF-005</x:v>
      </x:c>
      <x:c r="B6" s="11" t="str">
        <x:v>Entrenamiento definitivo</x:v>
      </x:c>
      <x:c r="C6" s="11" t="str">
        <x:v>Entrenamiento IA</x:v>
      </x:c>
      <x:c r="D6" s="11" t="str">
        <x:v>Consolidar modelo sagital final</x:v>
      </x:c>
      <x:c r="E6" s="11" t="str">
        <x:v>Verificar que el checkpoint sagital final, configuración y métricas estén copiados a models/ y documentados.</x:v>
      </x:c>
      <x:c r="F6" s="11" t="str">
        <x:v>P0 - crítico</x:v>
      </x:c>
      <x:c r="G6" s="11" t="str">
        <x:v>Backlog</x:v>
      </x:c>
      <x:c r="H6" s="11" t="str">
        <x:v>PF-001, PF-002</x:v>
      </x:c>
      <x:c r="I6" s="11" t="str">
        <x:v>modelo sagital final + reporte</x:v>
      </x:c>
      <x:c r="J6" s="11" t="str">
        <x:v>El modelo sagital puede cargarse desde el servicio sin depender de carpeta experimental.</x:v>
      </x:c>
      <x:c r="K6" s="11" t="n">
        <x:v>2</x:v>
      </x:c>
      <x:c r="L6" s="11" t="str">
        <x:v>Enzo</x:v>
      </x:c>
      <x:c r="M6" s="11" t="str">
        <x:v>S2</x:v>
      </x:c>
    </x:row>
    <x:row r="7">
      <x:c r="A7" s="11" t="str">
        <x:v>PF-006</x:v>
      </x:c>
      <x:c r="B7" s="11" t="str">
        <x:v>Entrenamiento definitivo</x:v>
      </x:c>
      <x:c r="C7" s="11" t="str">
        <x:v>Entrenamiento IA</x:v>
      </x:c>
      <x:c r="D7" s="11" t="str">
        <x:v>Config única de modelos</x:v>
      </x:c>
      <x:c r="E7" s="11" t="str">
        <x:v>Crear registry/config con nombres de modelos, clases, tamaños, checkpoints, thresholds y versión.</x:v>
      </x:c>
      <x:c r="F7" s="11" t="str">
        <x:v>P0 - crítico</x:v>
      </x:c>
      <x:c r="G7" s="11" t="str">
        <x:v>Backlog</x:v>
      </x:c>
      <x:c r="H7" s="11" t="str">
        <x:v>PF-004, PF-005</x:v>
      </x:c>
      <x:c r="I7" s="11" t="str">
        <x:v>model_registry.json o Python config</x:v>
      </x:c>
      <x:c r="J7" s="11" t="str">
        <x:v>El servicio usa una única fuente de configuración para axial y sagital.</x:v>
      </x:c>
      <x:c r="K7" s="11" t="n">
        <x:v>2</x:v>
      </x:c>
      <x:c r="L7" s="11" t="str">
        <x:v>Enzo</x:v>
      </x:c>
      <x:c r="M7" s="11" t="str">
        <x:v>S2</x:v>
      </x:c>
    </x:row>
    <x:row r="8">
      <x:c r="A8" s="11" t="str">
        <x:v>PF-007</x:v>
      </x:c>
      <x:c r="B8" s="11" t="str">
        <x:v>Entrenamiento definitivo</x:v>
      </x:c>
      <x:c r="C8" s="11" t="str">
        <x:v>Validación</x:v>
      </x:c>
      <x:c r="D8" s="11" t="str">
        <x:v>Reporte final de métricas por modelo</x:v>
      </x:c>
      <x:c r="E8" s="11" t="str">
        <x:v>Generar tabla final con Dice, IoU, métricas por clase y criterios con/sin raw_0 axial.</x:v>
      </x:c>
      <x:c r="F8" s="11" t="str">
        <x:v>P0 - crítico</x:v>
      </x:c>
      <x:c r="G8" s="11" t="str">
        <x:v>Backlog</x:v>
      </x:c>
      <x:c r="H8" s="11" t="str">
        <x:v>PF-004, PF-005</x:v>
      </x:c>
      <x:c r="I8" s="11" t="str">
        <x:v>results/final_model_metrics.csv</x:v>
      </x:c>
      <x:c r="J8" s="11" t="str">
        <x:v>Las métricas finales se calculan y quedan listas para capítulo de resultados.</x:v>
      </x:c>
      <x:c r="K8" s="11" t="n">
        <x:v>2</x:v>
      </x:c>
      <x:c r="L8" s="11" t="str">
        <x:v>Ambos</x:v>
      </x:c>
      <x:c r="M8" s="11" t="str">
        <x:v>S2</x:v>
      </x:c>
    </x:row>
    <x:row r="9">
      <x:c r="A9" s="11" t="str">
        <x:v>PF-008</x:v>
      </x:c>
      <x:c r="B9" s="11" t="str">
        <x:v>Inferencia producto</x:v>
      </x:c>
      <x:c r="C9" s="11" t="str">
        <x:v>Inferencia IA</x:v>
      </x:c>
      <x:c r="D9" s="11" t="str">
        <x:v>Convertir pipeline E13 a módulo productivo</x:v>
      </x:c>
      <x:c r="E9" s="11" t="str">
        <x:v>Mover inferencia común desde notebook a paquete Python reusable con funciones limpias.</x:v>
      </x:c>
      <x:c r="F9" s="11" t="str">
        <x:v>P0 - crítico</x:v>
      </x:c>
      <x:c r="G9" s="11" t="str">
        <x:v>Backlog</x:v>
      </x:c>
      <x:c r="H9" s="11" t="str">
        <x:v>PF-006</x:v>
      </x:c>
      <x:c r="I9" s="11" t="str">
        <x:v>pfi_ai_service/inference.py</x:v>
      </x:c>
      <x:c r="J9" s="11" t="str">
        <x:v>El backend de IA puede ejecutar inferencia sin depender de notebooks.</x:v>
      </x:c>
      <x:c r="K9" s="11" t="n">
        <x:v>4</x:v>
      </x:c>
      <x:c r="L9" s="11" t="str">
        <x:v>Enzo</x:v>
      </x:c>
      <x:c r="M9" s="11" t="str">
        <x:v>S3</x:v>
      </x:c>
    </x:row>
    <x:row r="10">
      <x:c r="A10" s="11" t="str">
        <x:v>PF-009</x:v>
      </x:c>
      <x:c r="B10" s="11" t="str">
        <x:v>Inferencia producto</x:v>
      </x:c>
      <x:c r="C10" s="11" t="str">
        <x:v>Inferencia IA</x:v>
      </x:c>
      <x:c r="D10" s="11" t="str">
        <x:v>Soporte de entrada de archivo</x:v>
      </x:c>
      <x:c r="E10" s="11" t="str">
        <x:v>Implementar lectura de NIfTI/MHA/DICOM o formato mínimo soportado para demo final.</x:v>
      </x:c>
      <x:c r="F10" s="11" t="str">
        <x:v>P0 - crítico</x:v>
      </x:c>
      <x:c r="G10" s="11" t="str">
        <x:v>Backlog</x:v>
      </x:c>
      <x:c r="H10" s="11" t="str">
        <x:v>PF-008</x:v>
      </x:c>
      <x:c r="I10" s="11" t="str">
        <x:v>endpoint o función de upload/inferencia</x:v>
      </x:c>
      <x:c r="J10" s="11" t="str">
        <x:v>Se carga un caso de prueba y se devuelve predicción, overlay y metadatos.</x:v>
      </x:c>
      <x:c r="K10" s="11" t="n">
        <x:v>4</x:v>
      </x:c>
      <x:c r="L10" s="11" t="str">
        <x:v>Enzo</x:v>
      </x:c>
      <x:c r="M10" s="11" t="str">
        <x:v>S3</x:v>
      </x:c>
    </x:row>
    <x:row r="11">
      <x:c r="A11" s="11" t="str">
        <x:v>PF-010</x:v>
      </x:c>
      <x:c r="B11" s="11" t="str">
        <x:v>Inferencia producto</x:v>
      </x:c>
      <x:c r="C11" s="11" t="str">
        <x:v>Inferencia IA</x:v>
      </x:c>
      <x:c r="D11" s="11" t="str">
        <x:v>Generación de overlays finales</x:v>
      </x:c>
      <x:c r="E11" s="11" t="str">
        <x:v>Generar PNGs/artefactos visuales para axial y sagital con leyenda, caso y modelo usado.</x:v>
      </x:c>
      <x:c r="F11" s="11" t="str">
        <x:v>P1 - alto</x:v>
      </x:c>
      <x:c r="G11" s="11" t="str">
        <x:v>Backlog</x:v>
      </x:c>
      <x:c r="H11" s="11" t="str">
        <x:v>PF-008</x:v>
      </x:c>
      <x:c r="I11" s="11" t="str">
        <x:v>figures/overlays_finales/*.png</x:v>
      </x:c>
      <x:c r="J11" s="11" t="str">
        <x:v>Cada resultado final tiene overlay revisable y vinculado al item del agente.</x:v>
      </x:c>
      <x:c r="K11" s="11" t="n">
        <x:v>2</x:v>
      </x:c>
      <x:c r="L11" s="11" t="str">
        <x:v>Enzo</x:v>
      </x:c>
      <x:c r="M11" s="11" t="str">
        <x:v>S3</x:v>
      </x:c>
    </x:row>
    <x:row r="12">
      <x:c r="A12" s="11" t="str">
        <x:v>PF-011</x:v>
      </x:c>
      <x:c r="B12" s="11" t="str">
        <x:v>Inferencia producto</x:v>
      </x:c>
      <x:c r="C12" s="11" t="str">
        <x:v>Inferencia IA</x:v>
      </x:c>
      <x:c r="D12" s="11" t="str">
        <x:v>Mediciones geométricas mínimas</x:v>
      </x:c>
      <x:c r="E12" s="11" t="str">
        <x:v>Implementar mediciones simples derivadas de máscaras: área proyectada/foreground ratio, bbox, centroides y componentes.</x:v>
      </x:c>
      <x:c r="F12" s="11" t="str">
        <x:v>P1 - alto</x:v>
      </x:c>
      <x:c r="G12" s="11" t="str">
        <x:v>Backlog</x:v>
      </x:c>
      <x:c r="H12" s="11" t="str">
        <x:v>PF-008</x:v>
      </x:c>
      <x:c r="I12" s="11" t="str">
        <x:v>measurements.py + CSV</x:v>
      </x:c>
      <x:c r="J12" s="11" t="str">
        <x:v>Las mediciones se calculan por estructura y se incorporan al reporte.</x:v>
      </x:c>
      <x:c r="K12" s="11" t="n">
        <x:v>3</x:v>
      </x:c>
      <x:c r="L12" s="11" t="str">
        <x:v>Enzo</x:v>
      </x:c>
      <x:c r="M12" s="11" t="str">
        <x:v>S3</x:v>
      </x:c>
    </x:row>
    <x:row r="13">
      <x:c r="A13" s="11" t="str">
        <x:v>PF-012</x:v>
      </x:c>
      <x:c r="B13" s="11" t="str">
        <x:v>Agente IA producto</x:v>
      </x:c>
      <x:c r="C13" s="11" t="str">
        <x:v>Agente IA</x:v>
      </x:c>
      <x:c r="D13" s="11" t="str">
        <x:v>Endurecer reglas del agente</x:v>
      </x:c>
      <x:c r="E13" s="11" t="str">
        <x:v>Separar reglas de prioridad, flags, thresholds y acciones recomendadas en configuración editable.</x:v>
      </x:c>
      <x:c r="F13" s="11" t="str">
        <x:v>P0 - crítico</x:v>
      </x:c>
      <x:c r="G13" s="11" t="str">
        <x:v>Backlog</x:v>
      </x:c>
      <x:c r="H13" s="11" t="str">
        <x:v>PF-006, PF-008</x:v>
      </x:c>
      <x:c r="I13" s="11" t="str">
        <x:v>agent_policy.py/config</x:v>
      </x:c>
      <x:c r="J13" s="11" t="str">
        <x:v>La prioridad se explica por razones trazables y modificables.</x:v>
      </x:c>
      <x:c r="K13" s="11" t="n">
        <x:v>2</x:v>
      </x:c>
      <x:c r="L13" s="11" t="str">
        <x:v>Francisco</x:v>
      </x:c>
      <x:c r="M13" s="11" t="str">
        <x:v>S4</x:v>
      </x:c>
    </x:row>
    <x:row r="14">
      <x:c r="A14" s="11" t="str">
        <x:v>PF-013</x:v>
      </x:c>
      <x:c r="B14" s="11" t="str">
        <x:v>Agente IA producto</x:v>
      </x:c>
      <x:c r="C14" s="11" t="str">
        <x:v>Agente IA</x:v>
      </x:c>
      <x:c r="D14" s="11" t="str">
        <x:v>Reportes por caso productivos</x:v>
      </x:c>
      <x:c r="E14" s="11" t="str">
        <x:v>Generar reporte JSON y Markdown por caso con resumen, flags, métricas, overlays y acción recomendada.</x:v>
      </x:c>
      <x:c r="F14" s="11" t="str">
        <x:v>P1 - alto</x:v>
      </x:c>
      <x:c r="G14" s="11" t="str">
        <x:v>Backlog</x:v>
      </x:c>
      <x:c r="H14" s="11" t="str">
        <x:v>PF-010, PF-011, PF-012</x:v>
      </x:c>
      <x:c r="I14" s="11" t="str">
        <x:v>case_reports/*.json + .md</x:v>
      </x:c>
      <x:c r="J14" s="11" t="str">
        <x:v>Cada caso tiene reporte revisable sin diagnóstico automático.</x:v>
      </x:c>
      <x:c r="K14" s="11" t="n">
        <x:v>2</x:v>
      </x:c>
      <x:c r="L14" s="11" t="str">
        <x:v>Francisco</x:v>
      </x:c>
      <x:c r="M14" s="11" t="str">
        <x:v>S4</x:v>
      </x:c>
    </x:row>
    <x:row r="15">
      <x:c r="A15" s="11" t="str">
        <x:v>PF-014</x:v>
      </x:c>
      <x:c r="B15" s="11" t="str">
        <x:v>Agente IA producto</x:v>
      </x:c>
      <x:c r="C15" s="11" t="str">
        <x:v>Validación</x:v>
      </x:c>
      <x:c r="D15" s="11" t="str">
        <x:v>Pruebas de regresión del agente</x:v>
      </x:c>
      <x:c r="E15" s="11" t="str">
        <x:v>Crear tests con sample E14/E16 para asegurar que prioridades y campos del contrato no se rompan.</x:v>
      </x:c>
      <x:c r="F15" s="11" t="str">
        <x:v>P1 - alto</x:v>
      </x:c>
      <x:c r="G15" s="11" t="str">
        <x:v>Backlog</x:v>
      </x:c>
      <x:c r="H15" s="11" t="str">
        <x:v>PF-012</x:v>
      </x:c>
      <x:c r="I15" s="11" t="str">
        <x:v>tests/test_agent.py</x:v>
      </x:c>
      <x:c r="J15" s="11" t="str">
        <x:v>Los tests pasan y validan baja/media/alta y human_review_required.</x:v>
      </x:c>
      <x:c r="K15" s="11" t="n">
        <x:v>2</x:v>
      </x:c>
      <x:c r="L15" s="11" t="str">
        <x:v>Enzo</x:v>
      </x:c>
      <x:c r="M15" s="11" t="str">
        <x:v>S4</x:v>
      </x:c>
    </x:row>
    <x:row r="16">
      <x:c r="A16" s="11" t="str">
        <x:v>PF-015</x:v>
      </x:c>
      <x:c r="B16" s="11" t="str">
        <x:v>Servicio IA final</x:v>
      </x:c>
      <x:c r="C16" s="11" t="str">
        <x:v>Servicio Python</x:v>
      </x:c>
      <x:c r="D16" s="11" t="str">
        <x:v>Endpoint de inferencia sagital</x:v>
      </x:c>
      <x:c r="E16" s="11" t="str">
        <x:v>Agregar endpoint FastAPI para inferencia sagital con archivo/caso de demo.</x:v>
      </x:c>
      <x:c r="F16" s="11" t="str">
        <x:v>P0 - crítico</x:v>
      </x:c>
      <x:c r="G16" s="11" t="str">
        <x:v>Backlog</x:v>
      </x:c>
      <x:c r="H16" s="11" t="str">
        <x:v>PF-008, PF-009</x:v>
      </x:c>
      <x:c r="I16" s="11" t="str">
        <x:v>POST /inference/sagittal</x:v>
      </x:c>
      <x:c r="J16" s="11" t="str">
        <x:v>El endpoint devuelve JSON limpio con output_id, overlay_path y quality.</x:v>
      </x:c>
      <x:c r="K16" s="11" t="n">
        <x:v>3</x:v>
      </x:c>
      <x:c r="L16" s="11" t="str">
        <x:v>Enzo</x:v>
      </x:c>
      <x:c r="M16" s="11" t="str">
        <x:v>S4</x:v>
      </x:c>
    </x:row>
    <x:row r="17">
      <x:c r="A17" s="11" t="str">
        <x:v>PF-016</x:v>
      </x:c>
      <x:c r="B17" s="11" t="str">
        <x:v>Servicio IA final</x:v>
      </x:c>
      <x:c r="C17" s="11" t="str">
        <x:v>Servicio Python</x:v>
      </x:c>
      <x:c r="D17" s="11" t="str">
        <x:v>Endpoint de inferencia axial</x:v>
      </x:c>
      <x:c r="E17" s="11" t="str">
        <x:v>Agregar endpoint FastAPI para inferencia axial con archivo/caso de demo.</x:v>
      </x:c>
      <x:c r="F17" s="11" t="str">
        <x:v>P0 - crítico</x:v>
      </x:c>
      <x:c r="G17" s="11" t="str">
        <x:v>Backlog</x:v>
      </x:c>
      <x:c r="H17" s="11" t="str">
        <x:v>PF-008, PF-009</x:v>
      </x:c>
      <x:c r="I17" s="11" t="str">
        <x:v>POST /inference/axial</x:v>
      </x:c>
      <x:c r="J17" s="11" t="str">
        <x:v>El endpoint devuelve JSON limpio con output_id, overlay_path y quality.</x:v>
      </x:c>
      <x:c r="K17" s="11" t="n">
        <x:v>3</x:v>
      </x:c>
      <x:c r="L17" s="11" t="str">
        <x:v>Enzo</x:v>
      </x:c>
      <x:c r="M17" s="11" t="str">
        <x:v>S4</x:v>
      </x:c>
    </x:row>
    <x:row r="18">
      <x:c r="A18" s="11" t="str">
        <x:v>PF-017</x:v>
      </x:c>
      <x:c r="B18" s="11" t="str">
        <x:v>Servicio IA final</x:v>
      </x:c>
      <x:c r="C18" s="11" t="str">
        <x:v>Servicio Python</x:v>
      </x:c>
      <x:c r="D18" s="11" t="str">
        <x:v>Endpoint de pipeline completo</x:v>
      </x:c>
      <x:c r="E18" s="11" t="str">
        <x:v>Agregar endpoint que ejecute inferencia + mediciones + agente sobre caso cargado o demo.</x:v>
      </x:c>
      <x:c r="F18" s="11" t="str">
        <x:v>P0 - crítico</x:v>
      </x:c>
      <x:c r="G18" s="11" t="str">
        <x:v>Backlog</x:v>
      </x:c>
      <x:c r="H18" s="11" t="str">
        <x:v>PF-015, PF-016, PF-012</x:v>
      </x:c>
      <x:c r="I18" s="11" t="str">
        <x:v>POST /pipeline/run</x:v>
      </x:c>
      <x:c r="J18" s="11" t="str">
        <x:v>Se obtiene worklist/reporte completo desde una llamada.</x:v>
      </x:c>
      <x:c r="K18" s="11" t="n">
        <x:v>4</x:v>
      </x:c>
      <x:c r="L18" s="11" t="str">
        <x:v>Enzo</x:v>
      </x:c>
      <x:c r="M18" s="11" t="str">
        <x:v>S5</x:v>
      </x:c>
    </x:row>
    <x:row r="19">
      <x:c r="A19" s="11" t="str">
        <x:v>PF-018</x:v>
      </x:c>
      <x:c r="B19" s="11" t="str">
        <x:v>Servicio IA final</x:v>
      </x:c>
      <x:c r="C19" s="11" t="str">
        <x:v>Servicio Python</x:v>
      </x:c>
      <x:c r="D19" s="11" t="str">
        <x:v>Manejo de errores y logs</x:v>
      </x:c>
      <x:c r="E19" s="11" t="str">
        <x:v>Agregar respuestas 400/404/500 claras, logs mínimos y mensajes no clínicos.</x:v>
      </x:c>
      <x:c r="F19" s="11" t="str">
        <x:v>P1 - alto</x:v>
      </x:c>
      <x:c r="G19" s="11" t="str">
        <x:v>Backlog</x:v>
      </x:c>
      <x:c r="H19" s="11" t="str">
        <x:v>PF-015, PF-016, PF-017</x:v>
      </x:c>
      <x:c r="I19" s="11" t="str">
        <x:v>logging + error schema</x:v>
      </x:c>
      <x:c r="J19" s="11" t="str">
        <x:v>Errores comunes quedan controlados y no rompen JSON.</x:v>
      </x:c>
      <x:c r="K19" s="11" t="n">
        <x:v>2</x:v>
      </x:c>
      <x:c r="L19" s="11" t="str">
        <x:v>Enzo</x:v>
      </x:c>
      <x:c r="M19" s="11" t="str">
        <x:v>S5</x:v>
      </x:c>
    </x:row>
    <x:row r="20">
      <x:c r="A20" s="11" t="str">
        <x:v>PF-019</x:v>
      </x:c>
      <x:c r="B20" s="11" t="str">
        <x:v>Servicio IA final</x:v>
      </x:c>
      <x:c r="C20" s="11" t="str">
        <x:v>DevOps</x:v>
      </x:c>
      <x:c r="D20" s="11" t="str">
        <x:v>Dockerfile servicio Python</x:v>
      </x:c>
      <x:c r="E20" s="11" t="str">
        <x:v>Crear Dockerfile o instrucciones reproducibles para levantar FastAPI con modelos montados.</x:v>
      </x:c>
      <x:c r="F20" s="11" t="str">
        <x:v>P2 - medio</x:v>
      </x:c>
      <x:c r="G20" s="11" t="str">
        <x:v>Backlog</x:v>
      </x:c>
      <x:c r="H20" s="11" t="str">
        <x:v>PF-015, PF-016</x:v>
      </x:c>
      <x:c r="I20" s="11" t="str">
        <x:v>Dockerfile + README</x:v>
      </x:c>
      <x:c r="J20" s="11" t="str">
        <x:v>El servicio se levanta con comando documentado.</x:v>
      </x:c>
      <x:c r="K20" s="11" t="n">
        <x:v>2</x:v>
      </x:c>
      <x:c r="L20" s="11" t="str">
        <x:v>Enzo</x:v>
      </x:c>
      <x:c r="M20" s="11" t="str">
        <x:v>S5</x:v>
      </x:c>
    </x:row>
    <x:row r="21">
      <x:c r="A21" s="11" t="str">
        <x:v>PF-020</x:v>
      </x:c>
      <x:c r="B21" s="11" t="str">
        <x:v>Backend final</x:v>
      </x:c>
      <x:c r="C21" s="11" t="str">
        <x:v>Backend Spring Boot</x:v>
      </x:c>
      <x:c r="D21" s="11" t="str">
        <x:v>Crear proyecto backend real o integrar scaffold</x:v>
      </x:c>
      <x:c r="E21" s="11" t="str">
        <x:v>Incorporar backend_bridge_spring en un proyecto Spring Boot ejecutable.</x:v>
      </x:c>
      <x:c r="F21" s="11" t="str">
        <x:v>P0 - crítico</x:v>
      </x:c>
      <x:c r="G21" s="11" t="str">
        <x:v>Backlog</x:v>
      </x:c>
      <x:c r="H21" s="11" t="str">
        <x:v>PF-017</x:v>
      </x:c>
      <x:c r="I21" s="11" t="str">
        <x:v>backend Spring Boot compila</x:v>
      </x:c>
      <x:c r="J21" s="11" t="str">
        <x:v>El backend levanta y expone endpoints propios.</x:v>
      </x:c>
      <x:c r="K21" s="11" t="n">
        <x:v>4</x:v>
      </x:c>
      <x:c r="L21" s="11" t="str">
        <x:v>Francisco</x:v>
      </x:c>
      <x:c r="M21" s="11" t="str">
        <x:v>S5</x:v>
      </x:c>
    </x:row>
    <x:row r="22">
      <x:c r="A22" s="11" t="str">
        <x:v>PF-021</x:v>
      </x:c>
      <x:c r="B22" s="11" t="str">
        <x:v>Backend final</x:v>
      </x:c>
      <x:c r="C22" s="11" t="str">
        <x:v>Backend Spring Boot</x:v>
      </x:c>
      <x:c r="D22" s="11" t="str">
        <x:v>DTOs definitivos del contrato IA</x:v>
      </x:c>
      <x:c r="E22" s="11" t="str">
        <x:v>Ajustar DTOs Java a respuesta real de FastAPI incluyendo summary, items, overlays y measurements.</x:v>
      </x:c>
      <x:c r="F22" s="11" t="str">
        <x:v>P0 - crítico</x:v>
      </x:c>
      <x:c r="G22" s="11" t="str">
        <x:v>Backlog</x:v>
      </x:c>
      <x:c r="H22" s="11" t="str">
        <x:v>PF-017, PF-020</x:v>
      </x:c>
      <x:c r="I22" s="11" t="str">
        <x:v>DTOs Java</x:v>
      </x:c>
      <x:c r="J22" s="11" t="str">
        <x:v>El contrato Java serializa/deserializa el JSON sin campos perdidos.</x:v>
      </x:c>
      <x:c r="K22" s="11" t="n">
        <x:v>2</x:v>
      </x:c>
      <x:c r="L22" s="11" t="str">
        <x:v>Francisco</x:v>
      </x:c>
      <x:c r="M22" s="11" t="str">
        <x:v>S5</x:v>
      </x:c>
    </x:row>
    <x:row r="23">
      <x:c r="A23" s="11" t="str">
        <x:v>PF-022</x:v>
      </x:c>
      <x:c r="B23" s="11" t="str">
        <x:v>Backend final</x:v>
      </x:c>
      <x:c r="C23" s="11" t="str">
        <x:v>Backend Spring Boot</x:v>
      </x:c>
      <x:c r="D23" s="11" t="str">
        <x:v>Endpoint /api/ai/agent/report</x:v>
      </x:c>
      <x:c r="E23" s="11" t="str">
        <x:v>Exponer endpoint Java que consuma el servicio Python y devuelva reporte al frontend.</x:v>
      </x:c>
      <x:c r="F23" s="11" t="str">
        <x:v>P0 - crítico</x:v>
      </x:c>
      <x:c r="G23" s="11" t="str">
        <x:v>Backlog</x:v>
      </x:c>
      <x:c r="H23" s="11" t="str">
        <x:v>PF-020, PF-021</x:v>
      </x:c>
      <x:c r="I23" s="11" t="str">
        <x:v>GET /api/ai/agent/report</x:v>
      </x:c>
      <x:c r="J23" s="11" t="str">
        <x:v>Frontend puede consumir Spring Boot sin llamar directo a Python.</x:v>
      </x:c>
      <x:c r="K23" s="11" t="n">
        <x:v>2</x:v>
      </x:c>
      <x:c r="L23" s="11" t="str">
        <x:v>Francisco</x:v>
      </x:c>
      <x:c r="M23" s="11" t="str">
        <x:v>S6</x:v>
      </x:c>
    </x:row>
    <x:row r="24">
      <x:c r="A24" s="11" t="str">
        <x:v>PF-023</x:v>
      </x:c>
      <x:c r="B24" s="11" t="str">
        <x:v>Backend final</x:v>
      </x:c>
      <x:c r="C24" s="11" t="str">
        <x:v>Backend Spring Boot</x:v>
      </x:c>
      <x:c r="D24" s="11" t="str">
        <x:v>Endpoint de ejecución de caso</x:v>
      </x:c>
      <x:c r="E24" s="11" t="str">
        <x:v>Agregar endpoint backend para disparar pipeline de IA y guardar resultado en memoria o persistencia simple.</x:v>
      </x:c>
      <x:c r="F24" s="11" t="str">
        <x:v>P1 - alto</x:v>
      </x:c>
      <x:c r="G24" s="11" t="str">
        <x:v>Backlog</x:v>
      </x:c>
      <x:c r="H24" s="11" t="str">
        <x:v>PF-017, PF-020</x:v>
      </x:c>
      <x:c r="I24" s="11" t="str">
        <x:v>POST /api/ai/pipeline/run</x:v>
      </x:c>
      <x:c r="J24" s="11" t="str">
        <x:v>El backend dispara análisis y devuelve un report_id o respuesta completa.</x:v>
      </x:c>
      <x:c r="K24" s="11" t="n">
        <x:v>4</x:v>
      </x:c>
      <x:c r="L24" s="11" t="str">
        <x:v>Francisco</x:v>
      </x:c>
      <x:c r="M24" s="11" t="str">
        <x:v>S6</x:v>
      </x:c>
    </x:row>
    <x:row r="25">
      <x:c r="A25" s="11" t="str">
        <x:v>PF-024</x:v>
      </x:c>
      <x:c r="B25" s="11" t="str">
        <x:v>Persistencia mínima</x:v>
      </x:c>
      <x:c r="C25" s="11" t="str">
        <x:v>Persistencia</x:v>
      </x:c>
      <x:c r="D25" s="11" t="str">
        <x:v>Definir modelo de datos mínimo</x:v>
      </x:c>
      <x:c r="E25" s="11" t="str">
        <x:v>Diseñar entidades/tables para caso, análisis, item, revisión, overlay y reporte.</x:v>
      </x:c>
      <x:c r="F25" s="11" t="str">
        <x:v>P1 - alto</x:v>
      </x:c>
      <x:c r="G25" s="11" t="str">
        <x:v>Backlog</x:v>
      </x:c>
      <x:c r="H25" s="11" t="str">
        <x:v>PF-020, PF-021</x:v>
      </x:c>
      <x:c r="I25" s="11" t="str">
        <x:v>schema.md / entities Java</x:v>
      </x:c>
      <x:c r="J25" s="11" t="str">
        <x:v>El modelo cubre trazabilidad sin sobrediseñar PACS/RIS.</x:v>
      </x:c>
      <x:c r="K25" s="11" t="n">
        <x:v>3</x:v>
      </x:c>
      <x:c r="L25" s="11" t="str">
        <x:v>Francisco</x:v>
      </x:c>
      <x:c r="M25" s="11" t="str">
        <x:v>S6</x:v>
      </x:c>
    </x:row>
    <x:row r="26">
      <x:c r="A26" s="11" t="str">
        <x:v>PF-025</x:v>
      </x:c>
      <x:c r="B26" s="11" t="str">
        <x:v>Persistencia mínima</x:v>
      </x:c>
      <x:c r="C26" s="11" t="str">
        <x:v>Persistencia</x:v>
      </x:c>
      <x:c r="D26" s="11" t="str">
        <x:v>Implementar persistencia simple</x:v>
      </x:c>
      <x:c r="E26" s="11" t="str">
        <x:v>Guardar reportes e items en H2/PostgreSQL o archivos JSON según alcance final.</x:v>
      </x:c>
      <x:c r="F26" s="11" t="str">
        <x:v>P1 - alto</x:v>
      </x:c>
      <x:c r="G26" s="11" t="str">
        <x:v>Backlog</x:v>
      </x:c>
      <x:c r="H26" s="11" t="str">
        <x:v>PF-024</x:v>
      </x:c>
      <x:c r="I26" s="11" t="str">
        <x:v>repositorios o storage JSON</x:v>
      </x:c>
      <x:c r="J26" s="11" t="str">
        <x:v>Un reporte generado puede recuperarse por ID.</x:v>
      </x:c>
      <x:c r="K26" s="11" t="n">
        <x:v>4</x:v>
      </x:c>
      <x:c r="L26" s="11" t="str">
        <x:v>Francisco</x:v>
      </x:c>
      <x:c r="M26" s="11" t="str">
        <x:v>S6</x:v>
      </x:c>
    </x:row>
    <x:row r="27">
      <x:c r="A27" s="11" t="str">
        <x:v>PF-026</x:v>
      </x:c>
      <x:c r="B27" s="11" t="str">
        <x:v>Frontend final</x:v>
      </x:c>
      <x:c r="C27" s="11" t="str">
        <x:v>Frontend React</x:v>
      </x:c>
      <x:c r="D27" s="11" t="str">
        <x:v>Integrar frontend con backend real</x:v>
      </x:c>
      <x:c r="E27" s="11" t="str">
        <x:v>Cambiar mock por llamada a /api/ai/agent/report con fallback a mock si falla.</x:v>
      </x:c>
      <x:c r="F27" s="11" t="str">
        <x:v>P0 - crítico</x:v>
      </x:c>
      <x:c r="G27" s="11" t="str">
        <x:v>Backlog</x:v>
      </x:c>
      <x:c r="H27" s="11" t="str">
        <x:v>PF-022</x:v>
      </x:c>
      <x:c r="I27" s="11" t="str">
        <x:v>frontend conectado</x:v>
      </x:c>
      <x:c r="J27" s="11" t="str">
        <x:v>La UI muestra datos reales desde Spring Boot.</x:v>
      </x:c>
      <x:c r="K27" s="11" t="n">
        <x:v>3</x:v>
      </x:c>
      <x:c r="L27" s="11" t="str">
        <x:v>Francisco</x:v>
      </x:c>
      <x:c r="M27" s="11" t="str">
        <x:v>S7</x:v>
      </x:c>
    </x:row>
    <x:row r="28">
      <x:c r="A28" s="11" t="str">
        <x:v>PF-027</x:v>
      </x:c>
      <x:c r="B28" s="11" t="str">
        <x:v>Frontend final</x:v>
      </x:c>
      <x:c r="C28" s="11" t="str">
        <x:v>Frontend React</x:v>
      </x:c>
      <x:c r="D28" s="11" t="str">
        <x:v>Mejorar UI/UX de worklist</x:v>
      </x:c>
      <x:c r="E28" s="11" t="str">
        <x:v>Rediseñar estilos, cards, filtros, detalle y badges de prioridad para demo presentable.</x:v>
      </x:c>
      <x:c r="F28" s="11" t="str">
        <x:v>P1 - alto</x:v>
      </x:c>
      <x:c r="G28" s="11" t="str">
        <x:v>Backlog</x:v>
      </x:c>
      <x:c r="H28" s="11" t="str">
        <x:v>PF-026</x:v>
      </x:c>
      <x:c r="I28" s="11" t="str">
        <x:v>UI mejorada</x:v>
      </x:c>
      <x:c r="J28" s="11" t="str">
        <x:v>La pantalla es clara, profesional y demostrable.</x:v>
      </x:c>
      <x:c r="K28" s="11" t="n">
        <x:v>4</x:v>
      </x:c>
      <x:c r="L28" s="11" t="str">
        <x:v>Francisco</x:v>
      </x:c>
      <x:c r="M28" s="11" t="str">
        <x:v>S7</x:v>
      </x:c>
    </x:row>
    <x:row r="29">
      <x:c r="A29" s="11" t="str">
        <x:v>PF-028</x:v>
      </x:c>
      <x:c r="B29" s="11" t="str">
        <x:v>Frontend final</x:v>
      </x:c>
      <x:c r="C29" s="11" t="str">
        <x:v>Frontend React</x:v>
      </x:c>
      <x:c r="D29" s="11" t="str">
        <x:v>Vista de overlay / evidencia visual</x:v>
      </x:c>
      <x:c r="E29" s="11" t="str">
        <x:v>Agregar panel para ver overlay por caso o link a imagen generada.</x:v>
      </x:c>
      <x:c r="F29" s="11" t="str">
        <x:v>P1 - alto</x:v>
      </x:c>
      <x:c r="G29" s="11" t="str">
        <x:v>Backlog</x:v>
      </x:c>
      <x:c r="H29" s="11" t="str">
        <x:v>PF-010, PF-026</x:v>
      </x:c>
      <x:c r="I29" s="11" t="str">
        <x:v>overlay viewer simple</x:v>
      </x:c>
      <x:c r="J29" s="11" t="str">
        <x:v>El usuario puede visualizar evidencia asociada a un item.</x:v>
      </x:c>
      <x:c r="K29" s="11" t="n">
        <x:v>3</x:v>
      </x:c>
      <x:c r="L29" s="11" t="str">
        <x:v>Francisco</x:v>
      </x:c>
      <x:c r="M29" s="11" t="str">
        <x:v>S7</x:v>
      </x:c>
    </x:row>
    <x:row r="30">
      <x:c r="A30" s="11" t="str">
        <x:v>PF-029</x:v>
      </x:c>
      <x:c r="B30" s="11" t="str">
        <x:v>Frontend final</x:v>
      </x:c>
      <x:c r="C30" s="11" t="str">
        <x:v>Frontend React</x:v>
      </x:c>
      <x:c r="D30" s="11" t="str">
        <x:v>Estados de revisión en UI</x:v>
      </x:c>
      <x:c r="E30" s="11" t="str">
        <x:v>Permitir marcar item como pendiente, aceptado, observado o descartado en UI.</x:v>
      </x:c>
      <x:c r="F30" s="11" t="str">
        <x:v>P1 - alto</x:v>
      </x:c>
      <x:c r="G30" s="11" t="str">
        <x:v>Backlog</x:v>
      </x:c>
      <x:c r="H30" s="11" t="str">
        <x:v>PF-024, PF-026</x:v>
      </x:c>
      <x:c r="I30" s="11" t="str">
        <x:v>review state UI</x:v>
      </x:c>
      <x:c r="J30" s="11" t="str">
        <x:v>La revisión humana queda representada en el frontend.</x:v>
      </x:c>
      <x:c r="K30" s="11" t="n">
        <x:v>3</x:v>
      </x:c>
      <x:c r="L30" s="11" t="str">
        <x:v>Francisco</x:v>
      </x:c>
      <x:c r="M30" s="11" t="str">
        <x:v>S7</x:v>
      </x:c>
    </x:row>
    <x:row r="31">
      <x:c r="A31" s="11" t="str">
        <x:v>PF-030</x:v>
      </x:c>
      <x:c r="B31" s="11" t="str">
        <x:v>Frontend final</x:v>
      </x:c>
      <x:c r="C31" s="11" t="str">
        <x:v>Frontend React</x:v>
      </x:c>
      <x:c r="D31" s="11" t="str">
        <x:v>Formulario de observaciones</x:v>
      </x:c>
      <x:c r="E31" s="11" t="str">
        <x:v>Agregar campo de observación por item y persistencia simple si backend lo permite.</x:v>
      </x:c>
      <x:c r="F31" s="11" t="str">
        <x:v>P2 - medio</x:v>
      </x:c>
      <x:c r="G31" s="11" t="str">
        <x:v>Backlog</x:v>
      </x:c>
      <x:c r="H31" s="11" t="str">
        <x:v>PF-025, PF-029</x:v>
      </x:c>
      <x:c r="I31" s="11" t="str">
        <x:v>review notes</x:v>
      </x:c>
      <x:c r="J31" s="11" t="str">
        <x:v>El usuario puede registrar una observación asociada al resultado.</x:v>
      </x:c>
      <x:c r="K31" s="11" t="n">
        <x:v>2</x:v>
      </x:c>
      <x:c r="L31" s="11" t="str">
        <x:v>Francisco</x:v>
      </x:c>
      <x:c r="M31" s="11" t="str">
        <x:v>S7</x:v>
      </x:c>
    </x:row>
    <x:row r="32">
      <x:c r="A32" s="11" t="str">
        <x:v>PF-031</x:v>
      </x:c>
      <x:c r="B32" s="11" t="str">
        <x:v>Validación final</x:v>
      </x:c>
      <x:c r="C32" s="11" t="str">
        <x:v>Validación</x:v>
      </x:c>
      <x:c r="D32" s="11" t="str">
        <x:v>Suite de smoke tests end-to-end</x:v>
      </x:c>
      <x:c r="E32" s="11" t="str">
        <x:v>Probar Python service + Spring Boot + frontend con un caso demo.</x:v>
      </x:c>
      <x:c r="F32" s="11" t="str">
        <x:v>P0 - crítico</x:v>
      </x:c>
      <x:c r="G32" s="11" t="str">
        <x:v>Backlog</x:v>
      </x:c>
      <x:c r="H32" s="11" t="str">
        <x:v>PF-017, PF-022, PF-026</x:v>
      </x:c>
      <x:c r="I32" s="11" t="str">
        <x:v>e2e_checklist.md</x:v>
      </x:c>
      <x:c r="J32" s="11" t="str">
        <x:v>La cadena completa funciona con evidencia capturada.</x:v>
      </x:c>
      <x:c r="K32" s="11" t="n">
        <x:v>2</x:v>
      </x:c>
      <x:c r="L32" s="11" t="str">
        <x:v>Ambos</x:v>
      </x:c>
      <x:c r="M32" s="11" t="str">
        <x:v>S8</x:v>
      </x:c>
    </x:row>
    <x:row r="33">
      <x:c r="A33" s="11" t="str">
        <x:v>PF-032</x:v>
      </x:c>
      <x:c r="B33" s="11" t="str">
        <x:v>Validación final</x:v>
      </x:c>
      <x:c r="C33" s="11" t="str">
        <x:v>Validación</x:v>
      </x:c>
      <x:c r="D33" s="11" t="str">
        <x:v>Demo script final</x:v>
      </x:c>
      <x:c r="E33" s="11" t="str">
        <x:v>Preparar guion de demo: levantar servicios, abrir frontend, revisar worklist, mostrar overlay y reporte.</x:v>
      </x:c>
      <x:c r="F33" s="11" t="str">
        <x:v>P0 - crítico</x:v>
      </x:c>
      <x:c r="G33" s="11" t="str">
        <x:v>Backlog</x:v>
      </x:c>
      <x:c r="H33" s="11" t="str">
        <x:v>PF-031</x:v>
      </x:c>
      <x:c r="I33" s="11" t="str">
        <x:v>demo_script.md</x:v>
      </x:c>
      <x:c r="J33" s="11" t="str">
        <x:v>Cualquier integrante puede ejecutar la demo con pasos claros.</x:v>
      </x:c>
      <x:c r="K33" s="11" t="n">
        <x:v>1</x:v>
      </x:c>
      <x:c r="L33" s="11" t="str">
        <x:v>Ambos</x:v>
      </x:c>
      <x:c r="M33" s="11" t="str">
        <x:v>S8</x:v>
      </x:c>
    </x:row>
    <x:row r="34">
      <x:c r="A34" s="11" t="str">
        <x:v>PF-033</x:v>
      </x:c>
      <x:c r="B34" s="11" t="str">
        <x:v>Validación final</x:v>
      </x:c>
      <x:c r="C34" s="11" t="str">
        <x:v>Validación</x:v>
      </x:c>
      <x:c r="D34" s="11" t="str">
        <x:v>Validación profesional con pantallas</x:v>
      </x:c>
      <x:c r="E34" s="11" t="str">
        <x:v>Volver a consultar a profesionales con capturas/flujo MVP y formulario 1-5.</x:v>
      </x:c>
      <x:c r="F34" s="11" t="str">
        <x:v>P1 - alto</x:v>
      </x:c>
      <x:c r="G34" s="11" t="str">
        <x:v>Backlog</x:v>
      </x:c>
      <x:c r="H34" s="11" t="str">
        <x:v>PF-027, PF-028, PF-032</x:v>
      </x:c>
      <x:c r="I34" s="11" t="str">
        <x:v>matriz_validacion_profesional.csv</x:v>
      </x:c>
      <x:c r="J34" s="11" t="str">
        <x:v>Hay feedback documentado sobre utilidad, confianza y mejoras.</x:v>
      </x:c>
      <x:c r="K34" s="11" t="n">
        <x:v>3</x:v>
      </x:c>
      <x:c r="L34" s="11" t="str">
        <x:v>Ambos</x:v>
      </x:c>
      <x:c r="M34" s="11" t="str">
        <x:v>S8</x:v>
      </x:c>
    </x:row>
    <x:row r="35">
      <x:c r="A35" s="11" t="str">
        <x:v>PF-034</x:v>
      </x:c>
      <x:c r="B35" s="11" t="str">
        <x:v>Documentación final</x:v>
      </x:c>
      <x:c r="C35" s="11" t="str">
        <x:v>Documentación</x:v>
      </x:c>
      <x:c r="D35" s="11" t="str">
        <x:v>Actualizar capítulos 15-19 con producto final</x:v>
      </x:c>
      <x:c r="E35" s="11" t="str">
        <x:v>Reemplazar checkpoint por resultados, capturas y decisiones finales.</x:v>
      </x:c>
      <x:c r="F35" s="11" t="str">
        <x:v>P0 - crítico</x:v>
      </x:c>
      <x:c r="G35" s="11" t="str">
        <x:v>Backlog</x:v>
      </x:c>
      <x:c r="H35" s="11" t="str">
        <x:v>PF-031, PF-033</x:v>
      </x:c>
      <x:c r="I35" s="11" t="str">
        <x:v>capítulos finales actualizados</x:v>
      </x:c>
      <x:c r="J35" s="11" t="str">
        <x:v>Los capítulos reflejan el producto final sin contradicciones.</x:v>
      </x:c>
      <x:c r="K35" s="11" t="n">
        <x:v>4</x:v>
      </x:c>
      <x:c r="L35" s="11" t="str">
        <x:v>Ambos</x:v>
      </x:c>
      <x:c r="M35" s="11" t="str">
        <x:v>S8</x:v>
      </x:c>
    </x:row>
    <x:row r="36">
      <x:c r="A36" s="11" t="str">
        <x:v>PF-035</x:v>
      </x:c>
      <x:c r="B36" s="11" t="str">
        <x:v>Documentación final</x:v>
      </x:c>
      <x:c r="C36" s="11" t="str">
        <x:v>Documentación</x:v>
      </x:c>
      <x:c r="D36" s="11" t="str">
        <x:v>Redactar capítulo 20 conclusiones</x:v>
      </x:c>
      <x:c r="E36" s="11" t="str">
        <x:v>Cerrar conclusión técnica, metodológica y de producto.</x:v>
      </x:c>
      <x:c r="F36" s="11" t="str">
        <x:v>P0 - crítico</x:v>
      </x:c>
      <x:c r="G36" s="11" t="str">
        <x:v>Backlog</x:v>
      </x:c>
      <x:c r="H36" s="11" t="str">
        <x:v>PF-034</x:v>
      </x:c>
      <x:c r="I36" s="11" t="str">
        <x:v>capitulo_20.docx</x:v>
      </x:c>
      <x:c r="J36" s="11" t="str">
        <x:v>La conclusión sintetiza aporte, límites y trabajo futuro.</x:v>
      </x:c>
      <x:c r="K36" s="11" t="n">
        <x:v>2</x:v>
      </x:c>
      <x:c r="L36" s="11" t="str">
        <x:v>Ambos</x:v>
      </x:c>
      <x:c r="M36" s="11" t="str">
        <x:v>S8</x:v>
      </x:c>
    </x:row>
    <x:row r="37">
      <x:c r="A37" s="11" t="str">
        <x:v>PF-036</x:v>
      </x:c>
      <x:c r="B37" s="11" t="str">
        <x:v>Documentación final</x:v>
      </x:c>
      <x:c r="C37" s="11" t="str">
        <x:v>Documentación</x:v>
      </x:c>
      <x:c r="D37" s="11" t="str">
        <x:v>Armar evidencia de defensa</x:v>
      </x:c>
      <x:c r="E37" s="11" t="str">
        <x:v>Seleccionar capturas, métricas, arquitectura final y demo para presentación.</x:v>
      </x:c>
      <x:c r="F37" s="11" t="str">
        <x:v>P1 - alto</x:v>
      </x:c>
      <x:c r="G37" s="11" t="str">
        <x:v>Backlog</x:v>
      </x:c>
      <x:c r="H37" s="11" t="str">
        <x:v>PF-031, PF-034</x:v>
      </x:c>
      <x:c r="I37" s="11" t="str">
        <x:v>carpeta_defensa/</x:v>
      </x:c>
      <x:c r="J37" s="11" t="str">
        <x:v>La defensa tiene evidencia visual y técnica coherente.</x:v>
      </x:c>
      <x:c r="K37" s="11" t="n">
        <x:v>2</x:v>
      </x:c>
      <x:c r="L37" s="11" t="str">
        <x:v>Ambos</x:v>
      </x:c>
      <x:c r="M37" s="11" t="str">
        <x:v>S8</x:v>
      </x:c>
    </x:row>
    <x:row r="38">
      <x:c r="A38" s="11" t="str">
        <x:v>PF-037</x:v>
      </x:c>
      <x:c r="B38" s="11" t="str">
        <x:v>Calidad técnica</x:v>
      </x:c>
      <x:c r="C38" s="11" t="str">
        <x:v>DevOps</x:v>
      </x:c>
      <x:c r="D38" s="11" t="str">
        <x:v>Limpieza de repo y estructura final</x:v>
      </x:c>
      <x:c r="E38" s="11" t="str">
        <x:v>Ordenar notebooks, src, docs, results, ai_service, backend y frontend.</x:v>
      </x:c>
      <x:c r="F38" s="11" t="str">
        <x:v>P1 - alto</x:v>
      </x:c>
      <x:c r="G38" s="11" t="str">
        <x:v>Backlog</x:v>
      </x:c>
      <x:c r="H38" s="11" t="str">
        <x:v>PF-034</x:v>
      </x:c>
      <x:c r="I38" s="11" t="str">
        <x:v>repo limpio</x:v>
      </x:c>
      <x:c r="J38" s="11" t="str">
        <x:v>El repo puede navegarse sin carpetas duplicadas o archivos obsoletos.</x:v>
      </x:c>
      <x:c r="K38" s="11" t="n">
        <x:v>2</x:v>
      </x:c>
      <x:c r="L38" s="11" t="str">
        <x:v>Ambos</x:v>
      </x:c>
      <x:c r="M38" s="11" t="str">
        <x:v>S8</x:v>
      </x:c>
    </x:row>
    <x:row r="39">
      <x:c r="A39" s="11" t="str">
        <x:v>PF-038</x:v>
      </x:c>
      <x:c r="B39" s="11" t="str">
        <x:v>Calidad técnica</x:v>
      </x:c>
      <x:c r="C39" s="11" t="str">
        <x:v>DevOps</x:v>
      </x:c>
      <x:c r="D39" s="11" t="str">
        <x:v>README general de ejecución</x:v>
      </x:c>
      <x:c r="E39" s="11" t="str">
        <x:v>Crear README raíz con setup, datasets, servicios, demo y limitaciones.</x:v>
      </x:c>
      <x:c r="F39" s="11" t="str">
        <x:v>P0 - crítico</x:v>
      </x:c>
      <x:c r="G39" s="11" t="str">
        <x:v>Backlog</x:v>
      </x:c>
      <x:c r="H39" s="11" t="str">
        <x:v>PF-031, PF-037</x:v>
      </x:c>
      <x:c r="I39" s="11" t="str">
        <x:v>README.md</x:v>
      </x:c>
      <x:c r="J39" s="11" t="str">
        <x:v>Un tercero puede entender cómo ejecutar el MVP técnico.</x:v>
      </x:c>
      <x:c r="K39" s="11" t="n">
        <x:v>2</x:v>
      </x:c>
      <x:c r="L39" s="11" t="str">
        <x:v>Ambos</x:v>
      </x:c>
      <x:c r="M39" s="11" t="str">
        <x:v>S8</x:v>
      </x:c>
    </x:row>
  </x:sheetData>
  <x:conditionalFormatting sqref="F2:F39">
    <x:cfRule type="expression" dxfId="0" priority="1">
      <x:formula>LEFT(F2,2)="P0"</x:formula>
    </x:cfRule>
    <x:cfRule type="expression" dxfId="1" priority="2">
      <x:formula>LEFT(F2,2)="P1"</x:formula>
    </x:cfRule>
  </x:conditionalFormatting>
  <x:conditionalFormatting sqref="G2:G39">
    <x:cfRule type="expression" dxfId="2" priority="3">
      <x:formula>G2="Bloqueado"</x:formula>
    </x:cfRule>
    <x:cfRule type="expression" dxfId="3" priority="4">
      <x:formula>G2="Cerrado"</x:formula>
    </x:cfRule>
    <x:cfRule type="expression" dxfId="4" priority="5">
      <x:formula>G2="En desarrollo"</x:formula>
    </x:cfRule>
  </x:conditionalFormatting>
  <x:dataValidations count="5">
    <x:dataValidation type="list" sqref="F2:F39">
      <x:formula1>99_Categorias!$A$2:$A$5</x:formula1>
    </x:dataValidation>
    <x:dataValidation type="list" sqref="G2:G39">
      <x:formula1>99_Categorias!$B$2:$B$9</x:formula1>
    </x:dataValidation>
    <x:dataValidation type="list" sqref="C2:C39">
      <x:formula1>99_Categorias!$D$2:$D$12</x:formula1>
    </x:dataValidation>
    <x:dataValidation type="list" sqref="L2:L39">
      <x:formula1>99_Categorias!$C$2:$C$5</x:formula1>
    </x:dataValidation>
    <x:dataValidation type="list" sqref="M2:M39">
      <x:formula1>99_Categorias!$E$2:$E$9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bfcd19a53a4b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8" hidden="0" customWidth="1"/>
    <x:col min="4" max="4" width="34" hidden="0" customWidth="1"/>
    <x:col min="5" max="5" width="28" hidden="0" customWidth="1"/>
    <x:col min="6" max="6" width="30" hidden="0" customWidth="1"/>
  </x:cols>
  <x:sheetData>
    <x:row r="1">
      <x:c r="A1" s="10" t="str">
        <x:v>Sprint</x:v>
      </x:c>
      <x:c r="B1" s="10" t="str">
        <x:v>Objetivo</x:v>
      </x:c>
      <x:c r="C1" s="10" t="str">
        <x:v>Tickets sugeridos</x:v>
      </x:c>
      <x:c r="D1" s="10" t="str">
        <x:v>Cierre esperado</x:v>
      </x:c>
      <x:c r="E1" s="10" t="str">
        <x:v>Riesgo principal</x:v>
      </x:c>
      <x:c r="F1" s="10" t="str">
        <x:v>Entregable demo</x:v>
      </x:c>
    </x:row>
    <x:row r="2">
      <x:c r="A2" s="11" t="str">
        <x:v>S1</x:v>
      </x:c>
      <x:c r="B2" s="11" t="str">
        <x:v>Base de datos y estructura reproducible</x:v>
      </x:c>
      <x:c r="C2" s="11" t="str">
        <x:v>PF-001, PF-002, PF-003</x:v>
      </x:c>
      <x:c r="D2" s="11" t="str">
        <x:v>Datos, paths y splits congelados</x:v>
      </x:c>
      <x:c r="E2" s="11" t="str">
        <x:v>Rutas inconsistentes</x:v>
      </x:c>
      <x:c r="F2" s="11" t="str">
        <x:v>Config y README de datos</x:v>
      </x:c>
    </x:row>
    <x:row r="3">
      <x:c r="A3" s="11" t="str">
        <x:v>S2</x:v>
      </x:c>
      <x:c r="B3" s="11" t="str">
        <x:v>Modelos finales y métricas</x:v>
      </x:c>
      <x:c r="C3" s="11" t="str">
        <x:v>PF-004 a PF-007</x:v>
      </x:c>
      <x:c r="D3" s="11" t="str">
        <x:v>Modelos axial/sagital consolidados</x:v>
      </x:c>
      <x:c r="E3" s="11" t="str">
        <x:v>Métricas dispersas</x:v>
      </x:c>
      <x:c r="F3" s="11" t="str">
        <x:v>Checkpoints + metrics final</x:v>
      </x:c>
    </x:row>
    <x:row r="4">
      <x:c r="A4" s="11" t="str">
        <x:v>S3</x:v>
      </x:c>
      <x:c r="B4" s="11" t="str">
        <x:v>Inferencia productiva</x:v>
      </x:c>
      <x:c r="C4" s="11" t="str">
        <x:v>PF-008 a PF-011</x:v>
      </x:c>
      <x:c r="D4" s="11" t="str">
        <x:v>Módulo inference.py + overlays + mediciones</x:v>
      </x:c>
      <x:c r="E4" s="11" t="str">
        <x:v>Dependencia de notebooks</x:v>
      </x:c>
      <x:c r="F4" s="11" t="str">
        <x:v>Inferencia reusable</x:v>
      </x:c>
    </x:row>
    <x:row r="5">
      <x:c r="A5" s="11" t="str">
        <x:v>S4</x:v>
      </x:c>
      <x:c r="B5" s="11" t="str">
        <x:v>Agente y endpoints IA básicos</x:v>
      </x:c>
      <x:c r="C5" s="11" t="str">
        <x:v>PF-012 a PF-016</x:v>
      </x:c>
      <x:c r="D5" s="11" t="str">
        <x:v>Reglas, reportes y endpoints por plano</x:v>
      </x:c>
      <x:c r="E5" s="11" t="str">
        <x:v>Contrato no estable</x:v>
      </x:c>
      <x:c r="F5" s="11" t="str">
        <x:v>FastAPI listo por plano</x:v>
      </x:c>
    </x:row>
    <x:row r="6">
      <x:c r="A6" s="11" t="str">
        <x:v>S5</x:v>
      </x:c>
      <x:c r="B6" s="11" t="str">
        <x:v>Pipeline completo y backend base</x:v>
      </x:c>
      <x:c r="C6" s="11" t="str">
        <x:v>PF-017 a PF-021</x:v>
      </x:c>
      <x:c r="D6" s="11" t="str">
        <x:v>Endpoint pipeline + backend Spring ejecutable</x:v>
      </x:c>
      <x:c r="E6" s="11" t="str">
        <x:v>Integración Python-Java</x:v>
      </x:c>
      <x:c r="F6" s="11" t="str">
        <x:v>Contrato Java-Python</x:v>
      </x:c>
    </x:row>
    <x:row r="7">
      <x:c r="A7" s="11" t="str">
        <x:v>S6</x:v>
      </x:c>
      <x:c r="B7" s="11" t="str">
        <x:v>Backend real y persistencia mínima</x:v>
      </x:c>
      <x:c r="C7" s="11" t="str">
        <x:v>PF-022 a PF-025</x:v>
      </x:c>
      <x:c r="D7" s="11" t="str">
        <x:v>Endpoints Java y persistencia de reportes</x:v>
      </x:c>
      <x:c r="E7" s="11" t="str">
        <x:v>Sobrediseño DB</x:v>
      </x:c>
      <x:c r="F7" s="11" t="str">
        <x:v>Reporte recuperable por ID</x:v>
      </x:c>
    </x:row>
    <x:row r="8">
      <x:c r="A8" s="11" t="str">
        <x:v>S7</x:v>
      </x:c>
      <x:c r="B8" s="11" t="str">
        <x:v>Frontend final y revisión</x:v>
      </x:c>
      <x:c r="C8" s="11" t="str">
        <x:v>PF-026 a PF-030</x:v>
      </x:c>
      <x:c r="D8" s="11" t="str">
        <x:v>UI conectada, overlays y estados de revisión</x:v>
      </x:c>
      <x:c r="E8" s="11" t="str">
        <x:v>UI demasiado básica</x:v>
      </x:c>
      <x:c r="F8" s="11" t="str">
        <x:v>Demo de worklist usable</x:v>
      </x:c>
    </x:row>
    <x:row r="9">
      <x:c r="A9" s="11" t="str">
        <x:v>S8</x:v>
      </x:c>
      <x:c r="B9" s="11" t="str">
        <x:v>Validación, documentación y defensa</x:v>
      </x:c>
      <x:c r="C9" s="11" t="str">
        <x:v>PF-031 a PF-038</x:v>
      </x:c>
      <x:c r="D9" s="11" t="str">
        <x:v>Smoke test e2e, docs finales y defensa</x:v>
      </x:c>
      <x:c r="E9" s="11" t="str">
        <x:v>Falta de evidencia final</x:v>
      </x:c>
      <x:c r="F9" s="11" t="str">
        <x:v>Demo + capítulos finales</x:v>
      </x:c>
    </x:row>
  </x:sheetData>
  <x:pageMargins left="0.7" right="0.7" top="0.75" bottom="0.75" header="0.3" footer="0.3"/>
  <x:tableParts count="1">
    <x:tablePart xmlns:r="http://schemas.openxmlformats.org/officeDocument/2006/relationships" r:id="Rf47f6ec743134b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42" hidden="0" customWidth="1"/>
    <x:col min="4" max="4" width="42" hidden="0" customWidth="1"/>
  </x:cols>
  <x:sheetData>
    <x:row r="1">
      <x:c r="A1" s="10" t="str">
        <x:v>Bloque</x:v>
      </x:c>
      <x:c r="B1" s="10" t="str">
        <x:v>Depende de</x:v>
      </x:c>
      <x:c r="C1" s="10" t="str">
        <x:v>Por qué importa</x:v>
      </x:c>
      <x:c r="D1" s="10" t="str">
        <x:v>Bloquea si falta</x:v>
      </x:c>
    </x:row>
    <x:row r="2">
      <x:c r="A2" s="11" t="str">
        <x:v>Servicio Python final</x:v>
      </x:c>
      <x:c r="B2" s="11" t="str">
        <x:v>Modelos finales + inference.py</x:v>
      </x:c>
      <x:c r="C2" s="11" t="str">
        <x:v>FastAPI debe usar modelos estables, no notebooks experimentales</x:v>
      </x:c>
      <x:c r="D2" s="11" t="str">
        <x:v>Backend y frontend no tendrán datos reales</x:v>
      </x:c>
    </x:row>
    <x:row r="3">
      <x:c r="A3" s="11" t="str">
        <x:v>Bridge Spring Boot</x:v>
      </x:c>
      <x:c r="B3" s="11" t="str">
        <x:v>Servicio Python con contrato estable</x:v>
      </x:c>
      <x:c r="C3" s="11" t="str">
        <x:v>Java necesita DTOs y endpoints definitivos</x:v>
      </x:c>
      <x:c r="D3" s="11" t="str">
        <x:v>Frontend seguirá con mock</x:v>
      </x:c>
    </x:row>
    <x:row r="4">
      <x:c r="A4" s="11" t="str">
        <x:v>Frontend conectado</x:v>
      </x:c>
      <x:c r="B4" s="11" t="str">
        <x:v>Endpoint Java /api/ai/agent/report</x:v>
      </x:c>
      <x:c r="C4" s="11" t="str">
        <x:v>La UI debe consumir backend, no Python directo</x:v>
      </x:c>
      <x:c r="D4" s="11" t="str">
        <x:v>No hay demo producto real</x:v>
      </x:c>
    </x:row>
    <x:row r="5">
      <x:c r="A5" s="11" t="str">
        <x:v>Persistencia mínima</x:v>
      </x:c>
      <x:c r="B5" s="11" t="str">
        <x:v>Modelo de datos y reportes JSON</x:v>
      </x:c>
      <x:c r="C5" s="11" t="str">
        <x:v>Permite recuperar resultados y estados de revisión</x:v>
      </x:c>
      <x:c r="D5" s="11" t="str">
        <x:v>Trazabilidad incompleta</x:v>
      </x:c>
    </x:row>
    <x:row r="6">
      <x:c r="A6" s="11" t="str">
        <x:v>Validación profesional</x:v>
      </x:c>
      <x:c r="B6" s="11" t="str">
        <x:v>UI presentable + overlays</x:v>
      </x:c>
      <x:c r="C6" s="11" t="str">
        <x:v>Los profesionales necesitan ver evidencia y flujo</x:v>
      </x:c>
      <x:c r="D6" s="11" t="str">
        <x:v>Feedback poco útil o teórico</x:v>
      </x:c>
    </x:row>
    <x:row r="7">
      <x:c r="A7" s="11" t="str">
        <x:v>Documentación final</x:v>
      </x:c>
      <x:c r="B7" s="11" t="str">
        <x:v>Producto final y smoke e2e</x:v>
      </x:c>
      <x:c r="C7" s="11" t="str">
        <x:v>Los capítulos deben reflejar el estado real</x:v>
      </x:c>
      <x:c r="D7" s="11" t="str">
        <x:v>Contradicción entre tesis y demo</x:v>
      </x:c>
    </x:row>
  </x:sheetData>
  <x:pageMargins left="0.7" right="0.7" top="0.75" bottom="0.75" header="0.3" footer="0.3"/>
  <x:tableParts count="1">
    <x:tablePart xmlns:r="http://schemas.openxmlformats.org/officeDocument/2006/relationships" r:id="Ra66a49681fef4b1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10" t="str">
        <x:v>Tipo de tarea</x:v>
      </x:c>
      <x:c r="B1" s="10" t="str">
        <x:v>Definition of Done</x:v>
      </x:c>
    </x:row>
    <x:row r="2">
      <x:c r="A2" s="11" t="str">
        <x:v>Dataset</x:v>
      </x:c>
      <x:c r="B2" s="11" t="str">
        <x:v>Rutas, splits, tamaños, exclusiones, licencia y limitaciones documentadas; se puede reproducir lectura.</x:v>
      </x:c>
    </x:row>
    <x:row r="3">
      <x:c r="A3" s="11" t="str">
        <x:v>Modelo IA</x:v>
      </x:c>
      <x:c r="B3" s="11" t="str">
        <x:v>Checkpoint guardado en models/, config asociada, métricas por clase y notebook/script reproducible.</x:v>
      </x:c>
    </x:row>
    <x:row r="4">
      <x:c r="A4" s="11" t="str">
        <x:v>Inferencia</x:v>
      </x:c>
      <x:c r="B4" s="11" t="str">
        <x:v>Función o endpoint ejecutable sin notebook manual; devuelve máscara/overlay/quality/report en JSON limpio.</x:v>
      </x:c>
    </x:row>
    <x:row r="5">
      <x:c r="A5" s="11" t="str">
        <x:v>Agente</x:v>
      </x:c>
      <x:c r="B5" s="11" t="str">
        <x:v>Prioridad, flags, razones y acción recomendada son trazables; human_review_required siempre true.</x:v>
      </x:c>
    </x:row>
    <x:row r="6">
      <x:c r="A6" s="11" t="str">
        <x:v>Backend</x:v>
      </x:c>
      <x:c r="B6" s="11" t="str">
        <x:v>Endpoint Spring Boot compila, consume Python service y responde DTOs estables al frontend.</x:v>
      </x:c>
    </x:row>
    <x:row r="7">
      <x:c r="A7" s="11" t="str">
        <x:v>Frontend</x:v>
      </x:c>
      <x:c r="B7" s="11" t="str">
        <x:v>Vista consume backend real o fallback documentado; muestra summary, tabla, detalle, flags, prioridad y overlay.</x:v>
      </x:c>
    </x:row>
    <x:row r="8">
      <x:c r="A8" s="11" t="str">
        <x:v>Validación</x:v>
      </x:c>
      <x:c r="B8" s="11" t="str">
        <x:v>Incluye evidencia: CSV/JSON/captura, checklist, métricas y decisión documentada.</x:v>
      </x:c>
    </x:row>
    <x:row r="9">
      <x:c r="A9" s="11" t="str">
        <x:v>Documentación</x:v>
      </x:c>
      <x:c r="B9" s="11" t="str">
        <x:v>Capítulo actualizado sin contradicciones con repo, métricas, alcance ni limitaciones.</x:v>
      </x:c>
    </x:row>
  </x:sheetData>
  <x:pageMargins left="0.7" right="0.7" top="0.75" bottom="0.75" header="0.3" footer="0.3"/>
  <x:tableParts count="1">
    <x:tablePart xmlns:r="http://schemas.openxmlformats.org/officeDocument/2006/relationships" r:id="R82e63926a61b4a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5" hidden="0" customWidth="1"/>
    <x:col min="4" max="4" width="50" hidden="0" customWidth="1"/>
  </x:cols>
  <x:sheetData>
    <x:row r="1">
      <x:c r="A1" s="10" t="str">
        <x:v>Tema</x:v>
      </x:c>
      <x:c r="B1" s="10" t="str">
        <x:v>Decisión actual</x:v>
      </x:c>
      <x:c r="C1" s="10" t="str">
        <x:v>Se mantiene para producto final</x:v>
      </x:c>
      <x:c r="D1" s="10" t="str">
        <x:v>Trabajo futuro / no prometer</x:v>
      </x:c>
    </x:row>
    <x:row r="2">
      <x:c r="A2" s="11" t="str">
        <x:v>Arquitectura</x:v>
      </x:c>
      <x:c r="B2" s="11" t="str">
        <x:v>Spring Boot + Python FastAPI + React/Vite/TypeScript</x:v>
      </x:c>
      <x:c r="C2" s="11" t="str">
        <x:v>Sí</x:v>
      </x:c>
      <x:c r="D2" s="11" t="str">
        <x:v>ONNX o ejecución IA en Java queda futuro.</x:v>
      </x:c>
    </x:row>
    <x:row r="3">
      <x:c r="A3" s="11" t="str">
        <x:v>IA</x:v>
      </x:c>
      <x:c r="B3" s="11" t="str">
        <x:v>Modelos 2D axial y sagital separados</x:v>
      </x:c>
      <x:c r="C3" s="11" t="str">
        <x:v>Sí</x:v>
      </x:c>
      <x:c r="D3" s="11" t="str">
        <x:v>No prometer 3D real paciente-específico.</x:v>
      </x:c>
    </x:row>
    <x:row r="4">
      <x:c r="A4" s="11" t="str">
        <x:v>Datasets</x:v>
      </x:c>
      <x:c r="B4" s="11" t="str">
        <x:v>SPIDER sagital y Al-Kafri/Sudirman axial</x:v>
      </x:c>
      <x:c r="C4" s="11" t="str">
        <x:v>Sí</x:v>
      </x:c>
      <x:c r="D4" s="11" t="str">
        <x:v>Datos clínicos privados quedan fuera salvo anonimización y aprobación.</x:v>
      </x:c>
    </x:row>
    <x:row r="5">
      <x:c r="A5" s="11" t="str">
        <x:v>Agente</x:v>
      </x:c>
      <x:c r="B5" s="11" t="str">
        <x:v>Prioriza revisión y genera razones; no diagnostica</x:v>
      </x:c>
      <x:c r="C5" s="11" t="str">
        <x:v>Sí</x:v>
      </x:c>
      <x:c r="D5" s="11" t="str">
        <x:v>Diagnóstico diferencial automático queda futuro.</x:v>
      </x:c>
    </x:row>
    <x:row r="6">
      <x:c r="A6" s="11" t="str">
        <x:v>Frontend</x:v>
      </x:c>
      <x:c r="B6" s="11" t="str">
        <x:v>Worklist MVP con filtros y detalle</x:v>
      </x:c>
      <x:c r="C6" s="11" t="str">
        <x:v>Sí, mejorable</x:v>
      </x:c>
      <x:c r="D6" s="11" t="str">
        <x:v>UI/UX profesional avanzada queda etapa final.</x:v>
      </x:c>
    </x:row>
    <x:row r="7">
      <x:c r="A7" s="11" t="str">
        <x:v>Validación</x:v>
      </x:c>
      <x:c r="B7" s="11" t="str">
        <x:v>Técnica + cualitativa preliminar</x:v>
      </x:c>
      <x:c r="C7" s="11" t="str">
        <x:v>Sí</x:v>
      </x:c>
      <x:c r="D7" s="11" t="str">
        <x:v>No afirmar validación clínica multicéntrica.</x:v>
      </x:c>
    </x:row>
    <x:row r="8">
      <x:c r="A8" s="11" t="str">
        <x:v>Producto final</x:v>
      </x:c>
      <x:c r="B8" s="11" t="str">
        <x:v>Demo integrada y trazable</x:v>
      </x:c>
      <x:c r="C8" s="11" t="str">
        <x:v>Sí</x:v>
      </x:c>
      <x:c r="D8" s="11" t="str">
        <x:v>No prometer PACS/RIS ni certificación regulatoria.</x:v>
      </x:c>
    </x:row>
  </x:sheetData>
  <x:pageMargins left="0.7" right="0.7" top="0.75" bottom="0.75" header="0.3" footer="0.3"/>
  <x:tableParts count="1">
    <x:tablePart xmlns:r="http://schemas.openxmlformats.org/officeDocument/2006/relationships" r:id="Rc8b7908c24e94cf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5" t="str">
        <x:v>Prioridades</x:v>
      </x:c>
      <x:c r="B1" s="5" t="str">
        <x:v>Estados</x:v>
      </x:c>
      <x:c r="C1" s="5" t="str">
        <x:v>Responsables</x:v>
      </x:c>
      <x:c r="D1" s="5" t="str">
        <x:v>Módulos</x:v>
      </x:c>
      <x:c r="E1" s="5" t="str">
        <x:v>Sprints</x:v>
      </x:c>
    </x:row>
    <x:row r="2">
      <x:c r="A2" t="str">
        <x:v>P0 - crítico</x:v>
      </x:c>
      <x:c r="B2" t="str">
        <x:v>Backlog</x:v>
      </x:c>
      <x:c r="C2" t="str">
        <x:v>Enzo</x:v>
      </x:c>
      <x:c r="D2" t="str">
        <x:v>Datos</x:v>
      </x:c>
      <x:c r="E2" t="str">
        <x:v>S1</x:v>
      </x:c>
    </x:row>
    <x:row r="3">
      <x:c r="A3" t="str">
        <x:v>P1 - alto</x:v>
      </x:c>
      <x:c r="B3" t="str">
        <x:v>Priorizado</x:v>
      </x:c>
      <x:c r="C3" t="str">
        <x:v>Francisco</x:v>
      </x:c>
      <x:c r="D3" t="str">
        <x:v>Entrenamiento IA</x:v>
      </x:c>
      <x:c r="E3" t="str">
        <x:v>S2</x:v>
      </x:c>
    </x:row>
    <x:row r="4">
      <x:c r="A4" t="str">
        <x:v>P2 - medio</x:v>
      </x:c>
      <x:c r="B4" t="str">
        <x:v>En desarrollo</x:v>
      </x:c>
      <x:c r="C4" t="str">
        <x:v>Ambos</x:v>
      </x:c>
      <x:c r="D4" t="str">
        <x:v>Inferencia IA</x:v>
      </x:c>
      <x:c r="E4" t="str">
        <x:v>S3</x:v>
      </x:c>
    </x:row>
    <x:row r="5">
      <x:c r="A5" t="str">
        <x:v>P3 - bajo</x:v>
      </x:c>
      <x:c r="B5" t="str">
        <x:v>En revisión</x:v>
      </x:c>
      <x:c r="C5" t="str">
        <x:v>A definir</x:v>
      </x:c>
      <x:c r="D5" t="str">
        <x:v>Agente IA</x:v>
      </x:c>
      <x:c r="E5" t="str">
        <x:v>S4</x:v>
      </x:c>
    </x:row>
    <x:row r="6">
      <x:c r="B6" t="str">
        <x:v>Validado</x:v>
      </x:c>
      <x:c r="D6" t="str">
        <x:v>Servicio Python</x:v>
      </x:c>
      <x:c r="E6" t="str">
        <x:v>S5</x:v>
      </x:c>
    </x:row>
    <x:row r="7">
      <x:c r="B7" t="str">
        <x:v>Documentado</x:v>
      </x:c>
      <x:c r="D7" t="str">
        <x:v>Backend Spring Boot</x:v>
      </x:c>
      <x:c r="E7" t="str">
        <x:v>S6</x:v>
      </x:c>
    </x:row>
    <x:row r="8">
      <x:c r="B8" t="str">
        <x:v>Cerrado</x:v>
      </x:c>
      <x:c r="D8" t="str">
        <x:v>Frontend React</x:v>
      </x:c>
      <x:c r="E8" t="str">
        <x:v>S7</x:v>
      </x:c>
    </x:row>
    <x:row r="9">
      <x:c r="B9" t="str">
        <x:v>Bloqueado</x:v>
      </x:c>
      <x:c r="D9" t="str">
        <x:v>Persistencia</x:v>
      </x:c>
      <x:c r="E9" t="str">
        <x:v>S8</x:v>
      </x:c>
    </x:row>
    <x:row r="10">
      <x:c r="D10" t="str">
        <x:v>Validación</x:v>
      </x:c>
    </x:row>
    <x:row r="11">
      <x:c r="D11" t="str">
        <x:v>Documentación</x:v>
      </x:c>
    </x:row>
    <x:row r="12">
      <x:c r="D12" t="str">
        <x:v>DevOps</x:v>
      </x:c>
    </x:row>
  </x:sheetData>
  <x:pageMargins left="0.7" right="0.7" top="0.75" bottom="0.75" header="0.3" footer="0.3"/>
</x:worksheet>
</file>